
<file path=[Content_Types].xml><?xml version="1.0" encoding="utf-8"?>
<Types xmlns="http://schemas.openxmlformats.org/package/2006/content-types">
  <Default Extension="vml" ContentType="application/vnd.openxmlformats-officedocument.vmlDrawing"/>
  <Default Extension="png" ContentType="image/p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ctrlProps/ctrlProp2.xml" ContentType="application/vnd.ms-excel.controlproperties+xml"/>
  <Override PartName="/xl/ctrlProps/ctrlProp3.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000" windowHeight="8880"/>
  </bookViews>
  <sheets>
    <sheet name="项目前置研判信息表" sheetId="1" r:id="rId1"/>
    <sheet name="Sheet2-主要财务数据表" sheetId="4" r:id="rId2"/>
  </sheets>
  <externalReferences>
    <externalReference r:id="rId3"/>
  </externalReferences>
  <definedNames>
    <definedName name="_xlnm.Print_Area" localSheetId="0">项目前置研判信息表!$A$1:$D$73</definedName>
    <definedName name="_xlnm.Print_Area" localSheetId="1">'Sheet2-主要财务数据表'!$A$1:$G$15,'Sheet2-主要财务数据表'!$A$17:$G$28</definedName>
  </definedNames>
  <calcPr calcId="144525"/>
</workbook>
</file>

<file path=xl/sharedStrings.xml><?xml version="1.0" encoding="utf-8"?>
<sst xmlns="http://schemas.openxmlformats.org/spreadsheetml/2006/main" count="198" uniqueCount="158">
  <si>
    <t>项目前置研判信息表</t>
  </si>
  <si>
    <t>一、基本信息</t>
  </si>
  <si>
    <t>（一）标的信息</t>
  </si>
  <si>
    <t>标的企业名称</t>
  </si>
  <si>
    <t>企业性质</t>
  </si>
  <si>
    <t>国有/民营/无实际控制人</t>
  </si>
  <si>
    <t>成立日期</t>
  </si>
  <si>
    <t>所属地区</t>
  </si>
  <si>
    <t>所属行业</t>
  </si>
  <si>
    <t>示例：制造业-&gt;计算机、通信和其他电子设备制造业-&gt;电子器件制造-&gt;集成电路制造</t>
  </si>
  <si>
    <t>行业政策</t>
  </si>
  <si>
    <t>总行行业政策</t>
  </si>
  <si>
    <t>科技属性</t>
  </si>
  <si>
    <t>科技类型</t>
  </si>
  <si>
    <t>如国家高新技术企业、专精特新、独角兽等 （可叠加填写）</t>
  </si>
  <si>
    <t>行内评级</t>
  </si>
  <si>
    <t>若无，可修改并填写他行四大行评级</t>
  </si>
  <si>
    <t>行内授信</t>
  </si>
  <si>
    <t>行内综合授信额度、现有授信敞口余额</t>
  </si>
  <si>
    <t>（二）集团信息</t>
  </si>
  <si>
    <t>所属集团/实际控制人</t>
  </si>
  <si>
    <t>集团行内评级</t>
  </si>
  <si>
    <t>集团行内授信</t>
  </si>
  <si>
    <t>（三）综合信息</t>
  </si>
  <si>
    <t>主营业务</t>
  </si>
  <si>
    <t>标的企业：聚焦贡献主要营业收入的商品和服务，无需填写营业执照许可经营事项</t>
  </si>
  <si>
    <t>所属集团：（要求同上）</t>
  </si>
  <si>
    <t>项目背景</t>
  </si>
  <si>
    <t>项目来源，本轮投资人情况（领投、意向投资方），其他重要信息</t>
  </si>
  <si>
    <t>二、业务方案</t>
  </si>
  <si>
    <t>投资金额</t>
  </si>
  <si>
    <t>投资总额、我方出资额</t>
  </si>
  <si>
    <t>投资方式</t>
  </si>
  <si>
    <t>XX基金</t>
  </si>
  <si>
    <t>投资期限</t>
  </si>
  <si>
    <t>X+N/无固定期限</t>
  </si>
  <si>
    <t>持股比例</t>
  </si>
  <si>
    <t>项目估值情况</t>
  </si>
  <si>
    <t>历史估值情况:历史共发起X次融资，A轮投前估值X亿元，融资X亿；B轮投前估值X亿，融资X亿；C轮投前估值X亿，融资X亿；本次融资为X轮融资</t>
  </si>
  <si>
    <t>同业估值对比：同业非上市可比公司近期融资估值（PE/PB/PS，或其他业内通用估值方法）；同业上市公司当前估值水平（PE/PB/PS，平均值、中位数等）</t>
  </si>
  <si>
    <t>当前估值水平：轮投前估值采用XX方法，估值预计为X亿元</t>
  </si>
  <si>
    <t>募集资金用途</t>
  </si>
  <si>
    <t>包括但不限于：生产线投资、并购、补充流动性、债务偿还等</t>
  </si>
  <si>
    <t>退出方式及上市计划</t>
  </si>
  <si>
    <t>退出方式：IPO、上翻、大股东协议受让、向不特定第三方转让等
上市计划：时间表、当前所处阶段、上市面临的主要问题</t>
  </si>
  <si>
    <t>期间收益安排</t>
  </si>
  <si>
    <t>具备分红能力：分红比例、回报率、频率
不具备分红能力：预计可实现盈利和具备分红能力时间</t>
  </si>
  <si>
    <t>项目对赌安排</t>
  </si>
  <si>
    <t>业绩对赌、上市进程对赌（明确具体安排）</t>
  </si>
  <si>
    <t>主要救济措施</t>
  </si>
  <si>
    <t>包括但不限于：增加董事会席位、提高股东会表决权、预期收益率跳升、实际控制人受让、估值补偿、拖售权、自由转让权、管理层绩效方案调整等</t>
  </si>
  <si>
    <t>公司治理安排</t>
  </si>
  <si>
    <t>董监事推荐权、一票否决权、特别决议事项等</t>
  </si>
  <si>
    <t>三、项目分析</t>
  </si>
  <si>
    <t>行业情况</t>
  </si>
  <si>
    <t>行业规模（近三年数据）</t>
  </si>
  <si>
    <t>竞争格局（前三梯队企业，头部企业市占率）</t>
  </si>
  <si>
    <t>标的企业市场份额</t>
  </si>
  <si>
    <t>产能利用率、开工率、未来投产规模</t>
  </si>
  <si>
    <t>未来产品/服务需求变化趋势、国产替代潜力</t>
  </si>
  <si>
    <t>核心技术及团队</t>
  </si>
  <si>
    <t>技术成果：已获专利、软件著作权、技术奖项与荣誉等</t>
  </si>
  <si>
    <t>技术团队：核心成员、团队情况，突出技术优势、经验优势（如团队来自某知名企业）；是否已制定员工持股计划</t>
  </si>
  <si>
    <t>产品/服务验证：是否已向下游头部客货提供产品或服务、产品性能认证或测评情况等</t>
  </si>
  <si>
    <t>研发强度：“研发支出/销售收入”
同业对比：产品/服务先进性、研发投入强度等</t>
  </si>
  <si>
    <t>股东及公司治理情况</t>
  </si>
  <si>
    <t>主要股东及持股比例（政府投资方、产业投资方、知名投资机构）</t>
  </si>
  <si>
    <t>股东赋能：控股股东/实际控制人实力评价，以及各股东对标的企业在资金、技术、产品、销售等方面的协同作用</t>
  </si>
  <si>
    <t>本轮融资：计划融资金额、潜在投资者、股东后续增资计划</t>
  </si>
  <si>
    <t>最近一年是否存在行内评级下调</t>
  </si>
  <si>
    <t>公司治理：董事会席位构成，“三会”特别决议事项，同股不同权，无实控人情形下的治理安排等</t>
  </si>
  <si>
    <t>政府支持情况</t>
  </si>
  <si>
    <t>政府投资、优惠政策（各类补贴，包括税收、奖励、费用返还）、产业规划（是否当地重点产业）、其他支持措施，以及是否纳入发改委、经信委、科委重点上市名单等</t>
  </si>
  <si>
    <t>经营及财务情况</t>
  </si>
  <si>
    <t>总体情况：经营收入及市场份额变化（近三年及一期数据，下同）
收入构成：列示主要产品、服务销售收入及占比</t>
  </si>
  <si>
    <t>采购及销售：向上游下游主要客户的采购/销售金额及占比（至少分别提供前五大客户）</t>
  </si>
  <si>
    <t>主要产品/服务毛利率变化</t>
  </si>
  <si>
    <t>发展规划：未来主要产品及拓展领域</t>
  </si>
  <si>
    <t>预计未来三年研发投入规模
预计未来三年资本支出规模（包括但不限于重大项目投资等）</t>
  </si>
  <si>
    <t>标的企业近三年会计师事务所聘用情况</t>
  </si>
  <si>
    <t>近三年及一期主要财务数据请于Sheet2中完善；财务报表请另行提供</t>
  </si>
  <si>
    <t>投资收益测算</t>
  </si>
  <si>
    <t>标的企业未来营收及利润预测（3-5年，说明支撑逻辑）</t>
  </si>
  <si>
    <t>投资收益率（IRR，概述测算逻辑）</t>
  </si>
  <si>
    <t>其他补充情况</t>
  </si>
  <si>
    <t>第三方中介机构尽调重点情况、重大风险揭示、舆情等</t>
  </si>
  <si>
    <t>四、打分情况</t>
  </si>
  <si>
    <t>公司各专业部门针对项目情况出具的相关意见</t>
  </si>
  <si>
    <t>市场化项目打分卡得分</t>
  </si>
  <si>
    <t>行业赛道（20分）</t>
  </si>
  <si>
    <t>股东背景（15分）</t>
  </si>
  <si>
    <t>标的公司（40分）</t>
  </si>
  <si>
    <t>估值合理性（15分）</t>
  </si>
  <si>
    <t>退出可行性（10分）</t>
  </si>
  <si>
    <t>调整加分项（最高5分）</t>
  </si>
  <si>
    <t>合计</t>
  </si>
  <si>
    <t>客户五维画像</t>
  </si>
  <si>
    <t>得分比例</t>
  </si>
  <si>
    <t>行业赛道</t>
  </si>
  <si>
    <t>股东背景</t>
  </si>
  <si>
    <t>标的公司</t>
  </si>
  <si>
    <t>估值合理性</t>
  </si>
  <si>
    <t>退出可行性</t>
  </si>
  <si>
    <t>打分评价</t>
  </si>
  <si>
    <t>该项目在XX维度、XX维度表现良好，在XX维度、XX维度表现偏弱，主要原因是（列举重点原因），是/否符合得分准入标准</t>
  </si>
  <si>
    <t>五、前台推荐意见</t>
  </si>
  <si>
    <t>主要投资风险</t>
  </si>
  <si>
    <t>项目团队综合研判主要风险点</t>
  </si>
  <si>
    <t>项目核心优势</t>
  </si>
  <si>
    <t>项目团队总结提炼投资价值及优势，包括但不限于：战略投资属性（如卡脖子）、行业发展前景、股东实力与赋能、商业模式可持续性、业务成长性、估值合理性、退出可行性、方案科学性等</t>
  </si>
  <si>
    <t>六、审查研判意见</t>
  </si>
  <si>
    <t>初步研判意见</t>
  </si>
  <si>
    <t>积极推进/持续跟踪/暂不跟进</t>
  </si>
  <si>
    <t>相关评价及方案优化意见</t>
  </si>
  <si>
    <t>汇总呈现委员、审查人的研判意见、方案优化要求等</t>
  </si>
  <si>
    <t>主要财务数据表</t>
  </si>
  <si>
    <t/>
  </si>
  <si>
    <t>金额单位：</t>
  </si>
  <si>
    <t>万元</t>
  </si>
  <si>
    <t>项目名称</t>
  </si>
  <si>
    <t>XX项目</t>
  </si>
  <si>
    <t>发起部门</t>
  </si>
  <si>
    <t>XX</t>
  </si>
  <si>
    <t>项目经理/组长</t>
  </si>
  <si>
    <t>XX/XX</t>
  </si>
  <si>
    <t>标的企业</t>
  </si>
  <si>
    <t>最新一期季报财务情况</t>
  </si>
  <si>
    <t>资产总额</t>
  </si>
  <si>
    <t>负债总额</t>
  </si>
  <si>
    <t>资产负债率</t>
  </si>
  <si>
    <t>销售收入</t>
  </si>
  <si>
    <t>净利润</t>
  </si>
  <si>
    <t>经营性净现金流</t>
  </si>
  <si>
    <t>最近三年成长性及盈利性指标</t>
  </si>
  <si>
    <t>2021年资产总额</t>
  </si>
  <si>
    <t>2022年资产总额</t>
  </si>
  <si>
    <t>2023年资产总额</t>
  </si>
  <si>
    <t>2021年负债总额</t>
  </si>
  <si>
    <t>2022年负债总额</t>
  </si>
  <si>
    <t>2023年负债总额</t>
  </si>
  <si>
    <t>2021年销售收入</t>
  </si>
  <si>
    <t>2022年销售收入</t>
  </si>
  <si>
    <t>2023年销售收入</t>
  </si>
  <si>
    <t>2021年净利润</t>
  </si>
  <si>
    <t>2022年净利润</t>
  </si>
  <si>
    <t>2023年净利润</t>
  </si>
  <si>
    <t>2021年经营性净现金流</t>
  </si>
  <si>
    <t>2022年经营性净现金流</t>
  </si>
  <si>
    <t>2023年经营性净现金流</t>
  </si>
  <si>
    <t>2021年投资性净现金流</t>
  </si>
  <si>
    <t>2022年投资性净现金流</t>
  </si>
  <si>
    <t>2021年筹资性净现金流</t>
  </si>
  <si>
    <t>2022年筹资性净现金流</t>
  </si>
  <si>
    <t>2023年筹资性净现金流</t>
  </si>
  <si>
    <t>2021年净现金流</t>
  </si>
  <si>
    <t>2022年净现金流</t>
  </si>
  <si>
    <t>2023年净现金流</t>
  </si>
  <si>
    <t>所属集团
（如有）</t>
  </si>
</sst>
</file>

<file path=xl/styles.xml><?xml version="1.0" encoding="utf-8"?>
<styleSheet xmlns="http://schemas.openxmlformats.org/spreadsheetml/2006/main">
  <numFmts count="5">
    <numFmt numFmtId="42" formatCode="_ &quot;￥&quot;* #,##0_ ;_ &quot;￥&quot;* \-#,##0_ ;_ &quot;￥&quot;* &quot;-&quot;_ ;_ @_ "/>
    <numFmt numFmtId="43" formatCode="_ * #,##0.00_ ;_ * \-#,##0.00_ ;_ * &quot;-&quot;??_ ;_ @_ "/>
    <numFmt numFmtId="44" formatCode="_ &quot;￥&quot;* #,##0.00_ ;_ &quot;￥&quot;* \-#,##0.00_ ;_ &quot;￥&quot;* &quot;-&quot;??_ ;_ @_ "/>
    <numFmt numFmtId="41" formatCode="_ * #,##0_ ;_ * \-#,##0_ ;_ * &quot;-&quot;_ ;_ @_ "/>
    <numFmt numFmtId="176" formatCode="0.00_ "/>
  </numFmts>
  <fonts count="36">
    <font>
      <sz val="11"/>
      <color theme="1"/>
      <name val="宋体"/>
      <charset val="134"/>
      <scheme val="minor"/>
    </font>
    <font>
      <sz val="12"/>
      <name val="宋体"/>
      <charset val="134"/>
    </font>
    <font>
      <sz val="16"/>
      <name val="微软雅黑"/>
      <charset val="134"/>
    </font>
    <font>
      <b/>
      <sz val="18"/>
      <name val="宋体"/>
      <charset val="134"/>
    </font>
    <font>
      <b/>
      <sz val="16"/>
      <name val="宋体"/>
      <charset val="134"/>
    </font>
    <font>
      <sz val="12"/>
      <name val="楷体"/>
      <charset val="134"/>
    </font>
    <font>
      <b/>
      <sz val="12"/>
      <name val="宋体"/>
      <charset val="134"/>
    </font>
    <font>
      <sz val="12"/>
      <name val="Times New Roman"/>
      <charset val="0"/>
    </font>
    <font>
      <b/>
      <sz val="14"/>
      <color theme="0"/>
      <name val="黑体"/>
      <charset val="134"/>
    </font>
    <font>
      <sz val="14"/>
      <name val="黑体"/>
      <charset val="134"/>
    </font>
    <font>
      <b/>
      <sz val="14"/>
      <name val="楷体_GB2312"/>
      <charset val="134"/>
    </font>
    <font>
      <sz val="14"/>
      <name val="楷体_GB2312"/>
      <charset val="134"/>
    </font>
    <font>
      <b/>
      <sz val="10"/>
      <name val="宋体"/>
      <charset val="134"/>
    </font>
    <font>
      <sz val="10"/>
      <name val="宋体"/>
      <charset val="134"/>
    </font>
    <font>
      <b/>
      <sz val="10"/>
      <color theme="0"/>
      <name val="黑体"/>
      <charset val="134"/>
    </font>
    <font>
      <sz val="10"/>
      <color theme="0"/>
      <name val="宋体"/>
      <charset val="134"/>
    </font>
    <font>
      <b/>
      <sz val="10"/>
      <color theme="1"/>
      <name val="宋体"/>
      <charset val="134"/>
    </font>
    <font>
      <b/>
      <sz val="11"/>
      <color rgb="FFFA7D00"/>
      <name val="宋体"/>
      <charset val="0"/>
      <scheme val="minor"/>
    </font>
    <font>
      <sz val="11"/>
      <color rgb="FF9C0006"/>
      <name val="宋体"/>
      <charset val="0"/>
      <scheme val="minor"/>
    </font>
    <font>
      <b/>
      <sz val="11"/>
      <color rgb="FF3F3F3F"/>
      <name val="宋体"/>
      <charset val="0"/>
      <scheme val="minor"/>
    </font>
    <font>
      <b/>
      <sz val="13"/>
      <color theme="3"/>
      <name val="宋体"/>
      <charset val="134"/>
      <scheme val="minor"/>
    </font>
    <font>
      <sz val="11"/>
      <color rgb="FF9C6500"/>
      <name val="宋体"/>
      <charset val="0"/>
      <scheme val="minor"/>
    </font>
    <font>
      <u/>
      <sz val="11"/>
      <color rgb="FF800080"/>
      <name val="宋体"/>
      <charset val="0"/>
      <scheme val="minor"/>
    </font>
    <font>
      <b/>
      <sz val="11"/>
      <color theme="3"/>
      <name val="宋体"/>
      <charset val="134"/>
      <scheme val="minor"/>
    </font>
    <font>
      <sz val="11"/>
      <color rgb="FF3F3F76"/>
      <name val="宋体"/>
      <charset val="0"/>
      <scheme val="minor"/>
    </font>
    <font>
      <sz val="11"/>
      <color theme="1"/>
      <name val="宋体"/>
      <charset val="0"/>
      <scheme val="minor"/>
    </font>
    <font>
      <sz val="11"/>
      <color theme="0"/>
      <name val="宋体"/>
      <charset val="0"/>
      <scheme val="minor"/>
    </font>
    <font>
      <b/>
      <sz val="15"/>
      <color theme="3"/>
      <name val="宋体"/>
      <charset val="134"/>
      <scheme val="minor"/>
    </font>
    <font>
      <b/>
      <sz val="18"/>
      <color theme="3"/>
      <name val="宋体"/>
      <charset val="134"/>
      <scheme val="minor"/>
    </font>
    <font>
      <u/>
      <sz val="11"/>
      <color rgb="FF0000FF"/>
      <name val="宋体"/>
      <charset val="0"/>
      <scheme val="minor"/>
    </font>
    <font>
      <b/>
      <sz val="11"/>
      <color rgb="FFFFFFFF"/>
      <name val="宋体"/>
      <charset val="0"/>
      <scheme val="minor"/>
    </font>
    <font>
      <i/>
      <sz val="11"/>
      <color rgb="FF7F7F7F"/>
      <name val="宋体"/>
      <charset val="0"/>
      <scheme val="minor"/>
    </font>
    <font>
      <b/>
      <sz val="11"/>
      <color theme="1"/>
      <name val="宋体"/>
      <charset val="0"/>
      <scheme val="minor"/>
    </font>
    <font>
      <sz val="11"/>
      <color rgb="FFFA7D00"/>
      <name val="宋体"/>
      <charset val="0"/>
      <scheme val="minor"/>
    </font>
    <font>
      <sz val="11"/>
      <color rgb="FF006100"/>
      <name val="宋体"/>
      <charset val="0"/>
      <scheme val="minor"/>
    </font>
    <font>
      <sz val="11"/>
      <color rgb="FFFF0000"/>
      <name val="宋体"/>
      <charset val="0"/>
      <scheme val="minor"/>
    </font>
  </fonts>
  <fills count="38">
    <fill>
      <patternFill patternType="none"/>
    </fill>
    <fill>
      <patternFill patternType="gray125"/>
    </fill>
    <fill>
      <patternFill patternType="solid">
        <fgColor rgb="FFF4EAE1"/>
        <bgColor indexed="64"/>
      </patternFill>
    </fill>
    <fill>
      <patternFill patternType="solid">
        <fgColor rgb="FFF3F3F1"/>
        <bgColor indexed="64"/>
      </patternFill>
    </fill>
    <fill>
      <patternFill patternType="solid">
        <fgColor theme="0"/>
        <bgColor indexed="64"/>
      </patternFill>
    </fill>
    <fill>
      <patternFill patternType="solid">
        <fgColor rgb="FF6B0301"/>
        <bgColor indexed="64"/>
      </patternFill>
    </fill>
    <fill>
      <patternFill patternType="solid">
        <fgColor theme="2" tint="-0.1"/>
        <bgColor indexed="64"/>
      </patternFill>
    </fill>
    <fill>
      <patternFill patternType="solid">
        <fgColor rgb="FFF2F2F2"/>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5"/>
        <bgColor indexed="64"/>
      </patternFill>
    </fill>
    <fill>
      <patternFill patternType="solid">
        <fgColor theme="5" tint="0.399975585192419"/>
        <bgColor indexed="64"/>
      </patternFill>
    </fill>
    <fill>
      <patternFill patternType="solid">
        <fgColor rgb="FFC6EFCE"/>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7"/>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6"/>
        <bgColor indexed="64"/>
      </patternFill>
    </fill>
    <fill>
      <patternFill patternType="solid">
        <fgColor theme="7" tint="0.799981688894314"/>
        <bgColor indexed="64"/>
      </patternFill>
    </fill>
    <fill>
      <patternFill patternType="solid">
        <fgColor theme="9"/>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8" tint="0.399975585192419"/>
        <bgColor indexed="64"/>
      </patternFill>
    </fill>
  </fills>
  <borders count="37">
    <border>
      <left/>
      <right/>
      <top/>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style="thin">
        <color auto="1"/>
      </left>
      <right style="thin">
        <color auto="1"/>
      </right>
      <top/>
      <bottom/>
      <diagonal/>
    </border>
    <border>
      <left style="thin">
        <color auto="1"/>
      </left>
      <right style="medium">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medium">
        <color rgb="FF5C79A3"/>
      </right>
      <top style="thin">
        <color auto="1"/>
      </top>
      <bottom style="thin">
        <color auto="1"/>
      </bottom>
      <diagonal/>
    </border>
    <border>
      <left style="thin">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25" fillId="13" borderId="0" applyNumberFormat="0" applyBorder="0" applyAlignment="0" applyProtection="0">
      <alignment vertical="center"/>
    </xf>
    <xf numFmtId="0" fontId="24" fillId="10" borderId="2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5" fillId="11" borderId="0" applyNumberFormat="0" applyBorder="0" applyAlignment="0" applyProtection="0">
      <alignment vertical="center"/>
    </xf>
    <xf numFmtId="0" fontId="18" fillId="8" borderId="0" applyNumberFormat="0" applyBorder="0" applyAlignment="0" applyProtection="0">
      <alignment vertical="center"/>
    </xf>
    <xf numFmtId="43" fontId="0" fillId="0" borderId="0" applyFont="0" applyFill="0" applyBorder="0" applyAlignment="0" applyProtection="0">
      <alignment vertical="center"/>
    </xf>
    <xf numFmtId="0" fontId="26" fillId="14" borderId="0" applyNumberFormat="0" applyBorder="0" applyAlignment="0" applyProtection="0">
      <alignment vertical="center"/>
    </xf>
    <xf numFmtId="0" fontId="29"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16" borderId="35" applyNumberFormat="0" applyFont="0" applyAlignment="0" applyProtection="0">
      <alignment vertical="center"/>
    </xf>
    <xf numFmtId="0" fontId="26" fillId="18" borderId="0" applyNumberFormat="0" applyBorder="0" applyAlignment="0" applyProtection="0">
      <alignment vertical="center"/>
    </xf>
    <xf numFmtId="0" fontId="23"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7" fillId="0" borderId="31" applyNumberFormat="0" applyFill="0" applyAlignment="0" applyProtection="0">
      <alignment vertical="center"/>
    </xf>
    <xf numFmtId="0" fontId="20" fillId="0" borderId="31" applyNumberFormat="0" applyFill="0" applyAlignment="0" applyProtection="0">
      <alignment vertical="center"/>
    </xf>
    <xf numFmtId="0" fontId="26" fillId="21" borderId="0" applyNumberFormat="0" applyBorder="0" applyAlignment="0" applyProtection="0">
      <alignment vertical="center"/>
    </xf>
    <xf numFmtId="0" fontId="23" fillId="0" borderId="36" applyNumberFormat="0" applyFill="0" applyAlignment="0" applyProtection="0">
      <alignment vertical="center"/>
    </xf>
    <xf numFmtId="0" fontId="26" fillId="24" borderId="0" applyNumberFormat="0" applyBorder="0" applyAlignment="0" applyProtection="0">
      <alignment vertical="center"/>
    </xf>
    <xf numFmtId="0" fontId="19" fillId="7" borderId="30" applyNumberFormat="0" applyAlignment="0" applyProtection="0">
      <alignment vertical="center"/>
    </xf>
    <xf numFmtId="0" fontId="17" fillId="7" borderId="29" applyNumberFormat="0" applyAlignment="0" applyProtection="0">
      <alignment vertical="center"/>
    </xf>
    <xf numFmtId="0" fontId="30" fillId="15" borderId="32" applyNumberFormat="0" applyAlignment="0" applyProtection="0">
      <alignment vertical="center"/>
    </xf>
    <xf numFmtId="0" fontId="25" fillId="25" borderId="0" applyNumberFormat="0" applyBorder="0" applyAlignment="0" applyProtection="0">
      <alignment vertical="center"/>
    </xf>
    <xf numFmtId="0" fontId="26" fillId="17" borderId="0" applyNumberFormat="0" applyBorder="0" applyAlignment="0" applyProtection="0">
      <alignment vertical="center"/>
    </xf>
    <xf numFmtId="0" fontId="33" fillId="0" borderId="34" applyNumberFormat="0" applyFill="0" applyAlignment="0" applyProtection="0">
      <alignment vertical="center"/>
    </xf>
    <xf numFmtId="0" fontId="32" fillId="0" borderId="33" applyNumberFormat="0" applyFill="0" applyAlignment="0" applyProtection="0">
      <alignment vertical="center"/>
    </xf>
    <xf numFmtId="0" fontId="34" fillId="19" borderId="0" applyNumberFormat="0" applyBorder="0" applyAlignment="0" applyProtection="0">
      <alignment vertical="center"/>
    </xf>
    <xf numFmtId="0" fontId="21" fillId="9" borderId="0" applyNumberFormat="0" applyBorder="0" applyAlignment="0" applyProtection="0">
      <alignment vertical="center"/>
    </xf>
    <xf numFmtId="0" fontId="25" fillId="26"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20" borderId="0" applyNumberFormat="0" applyBorder="0" applyAlignment="0" applyProtection="0">
      <alignment vertical="center"/>
    </xf>
    <xf numFmtId="0" fontId="25" fillId="27" borderId="0" applyNumberFormat="0" applyBorder="0" applyAlignment="0" applyProtection="0">
      <alignment vertical="center"/>
    </xf>
    <xf numFmtId="0" fontId="25" fillId="12" borderId="0" applyNumberFormat="0" applyBorder="0" applyAlignment="0" applyProtection="0">
      <alignment vertical="center"/>
    </xf>
    <xf numFmtId="0" fontId="26" fillId="30" borderId="0" applyNumberFormat="0" applyBorder="0" applyAlignment="0" applyProtection="0">
      <alignment vertical="center"/>
    </xf>
    <xf numFmtId="0" fontId="26" fillId="23" borderId="0" applyNumberFormat="0" applyBorder="0" applyAlignment="0" applyProtection="0">
      <alignment vertical="center"/>
    </xf>
    <xf numFmtId="0" fontId="25" fillId="31"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6" fillId="37" borderId="0" applyNumberFormat="0" applyBorder="0" applyAlignment="0" applyProtection="0">
      <alignment vertical="center"/>
    </xf>
    <xf numFmtId="0" fontId="26" fillId="32" borderId="0" applyNumberFormat="0" applyBorder="0" applyAlignment="0" applyProtection="0">
      <alignment vertical="center"/>
    </xf>
    <xf numFmtId="0" fontId="25" fillId="22" borderId="0" applyNumberFormat="0" applyBorder="0" applyAlignment="0" applyProtection="0">
      <alignment vertical="center"/>
    </xf>
    <xf numFmtId="0" fontId="26" fillId="36" borderId="0" applyNumberFormat="0" applyBorder="0" applyAlignment="0" applyProtection="0">
      <alignment vertical="center"/>
    </xf>
  </cellStyleXfs>
  <cellXfs count="86">
    <xf numFmtId="0" fontId="0" fillId="0" borderId="0" xfId="0">
      <alignment vertical="center"/>
    </xf>
    <xf numFmtId="0" fontId="1" fillId="0" borderId="0" xfId="0" applyFont="1" applyFill="1" applyBorder="1" applyAlignment="1">
      <alignment vertical="center"/>
    </xf>
    <xf numFmtId="0" fontId="1" fillId="0" borderId="0" xfId="0" applyFont="1" applyFill="1" applyAlignment="1">
      <alignment vertical="center"/>
    </xf>
    <xf numFmtId="0" fontId="1" fillId="0" borderId="0" xfId="0" applyNumberFormat="1" applyFont="1" applyFill="1" applyBorder="1" applyAlignment="1">
      <alignment vertical="center" wrapText="1"/>
    </xf>
    <xf numFmtId="0" fontId="2" fillId="2" borderId="0" xfId="0" applyNumberFormat="1" applyFont="1" applyFill="1" applyBorder="1" applyAlignment="1">
      <alignment horizontal="center" vertical="center"/>
    </xf>
    <xf numFmtId="0" fontId="3" fillId="0" borderId="0" xfId="0" applyNumberFormat="1" applyFont="1" applyFill="1" applyBorder="1" applyAlignment="1">
      <alignment vertical="center" wrapText="1"/>
    </xf>
    <xf numFmtId="0" fontId="4" fillId="0" borderId="0" xfId="0" applyFont="1" applyFill="1" applyBorder="1" applyAlignment="1">
      <alignment horizontal="center" vertical="center"/>
    </xf>
    <xf numFmtId="0" fontId="4" fillId="0" borderId="0" xfId="0" applyNumberFormat="1" applyFont="1" applyFill="1" applyBorder="1" applyAlignment="1" applyProtection="1">
      <alignment horizontal="center" vertical="center"/>
      <protection locked="0"/>
    </xf>
    <xf numFmtId="0" fontId="5" fillId="3" borderId="1" xfId="0" applyNumberFormat="1" applyFont="1" applyFill="1" applyBorder="1" applyAlignment="1">
      <alignment horizontal="center" vertical="center"/>
    </xf>
    <xf numFmtId="0" fontId="1" fillId="0" borderId="2" xfId="0" applyNumberFormat="1" applyFont="1" applyFill="1" applyBorder="1" applyAlignment="1" applyProtection="1">
      <alignment horizontal="left" vertical="center"/>
      <protection locked="0"/>
    </xf>
    <xf numFmtId="0" fontId="1" fillId="0" borderId="3" xfId="0" applyNumberFormat="1" applyFont="1" applyFill="1" applyBorder="1" applyAlignment="1" applyProtection="1">
      <alignment horizontal="left" vertical="center"/>
      <protection locked="0"/>
    </xf>
    <xf numFmtId="0" fontId="5" fillId="0" borderId="4" xfId="0" applyNumberFormat="1" applyFont="1" applyFill="1" applyBorder="1" applyAlignment="1">
      <alignment horizontal="center" vertical="center"/>
    </xf>
    <xf numFmtId="0" fontId="1" fillId="0" borderId="4" xfId="0" applyNumberFormat="1" applyFont="1" applyFill="1" applyBorder="1" applyAlignment="1" applyProtection="1">
      <alignment vertical="center"/>
      <protection locked="0"/>
    </xf>
    <xf numFmtId="0" fontId="1" fillId="0" borderId="5" xfId="0" applyNumberFormat="1" applyFont="1" applyFill="1" applyBorder="1" applyAlignment="1" applyProtection="1">
      <alignment vertical="center"/>
      <protection locked="0"/>
    </xf>
    <xf numFmtId="0" fontId="6" fillId="3" borderId="6" xfId="0" applyNumberFormat="1" applyFont="1" applyFill="1" applyBorder="1" applyAlignment="1">
      <alignment horizontal="center" vertical="center" wrapText="1"/>
    </xf>
    <xf numFmtId="0" fontId="5" fillId="0" borderId="7" xfId="0" applyNumberFormat="1" applyFont="1" applyFill="1" applyBorder="1" applyAlignment="1">
      <alignment horizontal="center" vertical="center"/>
    </xf>
    <xf numFmtId="0" fontId="5" fillId="0" borderId="8" xfId="0" applyNumberFormat="1" applyFont="1" applyFill="1" applyBorder="1" applyAlignment="1">
      <alignment horizontal="center" vertical="center"/>
    </xf>
    <xf numFmtId="0" fontId="6" fillId="3" borderId="9" xfId="0" applyNumberFormat="1" applyFont="1" applyFill="1" applyBorder="1" applyAlignment="1">
      <alignment horizontal="center" vertical="center" wrapText="1"/>
    </xf>
    <xf numFmtId="0" fontId="5" fillId="0" borderId="10" xfId="0" applyNumberFormat="1" applyFont="1" applyFill="1" applyBorder="1" applyAlignment="1">
      <alignment vertical="center"/>
    </xf>
    <xf numFmtId="176" fontId="7" fillId="0" borderId="10" xfId="0" applyNumberFormat="1" applyFont="1" applyFill="1" applyBorder="1" applyAlignment="1" applyProtection="1">
      <alignment horizontal="right" vertical="center"/>
      <protection locked="0"/>
    </xf>
    <xf numFmtId="10" fontId="7" fillId="0" borderId="11" xfId="0" applyNumberFormat="1" applyFont="1" applyFill="1" applyBorder="1" applyAlignment="1" applyProtection="1">
      <alignment horizontal="right" vertical="center"/>
    </xf>
    <xf numFmtId="176" fontId="7" fillId="0" borderId="11" xfId="0" applyNumberFormat="1" applyFont="1" applyFill="1" applyBorder="1" applyAlignment="1" applyProtection="1">
      <alignment horizontal="right" vertical="center"/>
      <protection locked="0"/>
    </xf>
    <xf numFmtId="0" fontId="5" fillId="0" borderId="10" xfId="0" applyNumberFormat="1" applyFont="1" applyFill="1" applyBorder="1" applyAlignment="1">
      <alignment horizontal="center" vertical="center"/>
    </xf>
    <xf numFmtId="0" fontId="5" fillId="0" borderId="11" xfId="0" applyNumberFormat="1" applyFont="1" applyFill="1" applyBorder="1" applyAlignment="1">
      <alignment horizontal="center" vertical="center"/>
    </xf>
    <xf numFmtId="0" fontId="5" fillId="0" borderId="10" xfId="0" applyNumberFormat="1" applyFont="1" applyFill="1" applyBorder="1" applyAlignment="1">
      <alignment horizontal="left" vertical="center"/>
    </xf>
    <xf numFmtId="176" fontId="5" fillId="0" borderId="10" xfId="0" applyNumberFormat="1" applyFont="1" applyFill="1" applyBorder="1" applyAlignment="1" applyProtection="1">
      <alignment horizontal="right" vertical="center"/>
      <protection locked="0"/>
    </xf>
    <xf numFmtId="176" fontId="5" fillId="0" borderId="11" xfId="0" applyNumberFormat="1" applyFont="1" applyFill="1" applyBorder="1" applyAlignment="1" applyProtection="1">
      <alignment horizontal="right" vertical="center"/>
      <protection locked="0"/>
    </xf>
    <xf numFmtId="0" fontId="6" fillId="3" borderId="12" xfId="0" applyNumberFormat="1" applyFont="1" applyFill="1" applyBorder="1" applyAlignment="1">
      <alignment horizontal="center" vertical="center" wrapText="1"/>
    </xf>
    <xf numFmtId="0" fontId="5" fillId="0" borderId="13" xfId="0" applyNumberFormat="1" applyFont="1" applyFill="1" applyBorder="1" applyAlignment="1">
      <alignment vertical="center"/>
    </xf>
    <xf numFmtId="176" fontId="7" fillId="0" borderId="13" xfId="0" applyNumberFormat="1" applyFont="1" applyFill="1" applyBorder="1" applyAlignment="1" applyProtection="1">
      <alignment horizontal="right" vertical="center"/>
      <protection locked="0"/>
    </xf>
    <xf numFmtId="176" fontId="7" fillId="0" borderId="14" xfId="0" applyNumberFormat="1" applyFont="1" applyFill="1" applyBorder="1" applyAlignment="1" applyProtection="1">
      <alignment horizontal="right" vertical="center"/>
      <protection locked="0"/>
    </xf>
    <xf numFmtId="0" fontId="6" fillId="3" borderId="15" xfId="0" applyNumberFormat="1" applyFont="1" applyFill="1" applyBorder="1" applyAlignment="1">
      <alignment horizontal="center" vertical="center" wrapText="1"/>
    </xf>
    <xf numFmtId="0" fontId="5" fillId="0" borderId="16" xfId="0" applyNumberFormat="1" applyFont="1" applyFill="1" applyBorder="1" applyAlignment="1">
      <alignment vertical="center"/>
    </xf>
    <xf numFmtId="0" fontId="7" fillId="0" borderId="16" xfId="0" applyNumberFormat="1" applyFont="1" applyFill="1" applyBorder="1" applyAlignment="1" applyProtection="1">
      <alignment horizontal="center" vertical="center"/>
      <protection locked="0"/>
    </xf>
    <xf numFmtId="0" fontId="7" fillId="0" borderId="17" xfId="0" applyNumberFormat="1" applyFont="1" applyFill="1" applyBorder="1" applyAlignment="1" applyProtection="1">
      <alignment horizontal="center" vertical="center"/>
      <protection locked="0"/>
    </xf>
    <xf numFmtId="176" fontId="5" fillId="0" borderId="11" xfId="0" applyNumberFormat="1" applyFont="1" applyFill="1" applyBorder="1" applyAlignment="1">
      <alignment horizontal="right" vertical="center"/>
    </xf>
    <xf numFmtId="0" fontId="1" fillId="0" borderId="0" xfId="0" applyFont="1" applyFill="1" applyBorder="1" applyAlignment="1">
      <alignment horizontal="center" vertical="center"/>
    </xf>
    <xf numFmtId="0" fontId="1" fillId="0" borderId="0" xfId="0" applyFont="1" applyFill="1" applyBorder="1" applyAlignment="1">
      <alignment horizontal="right" vertical="center"/>
    </xf>
    <xf numFmtId="0" fontId="1" fillId="4" borderId="0" xfId="0" applyFont="1" applyFill="1" applyBorder="1" applyAlignment="1">
      <alignment vertical="center"/>
    </xf>
    <xf numFmtId="0" fontId="3" fillId="2" borderId="18" xfId="0" applyFont="1" applyFill="1" applyBorder="1" applyAlignment="1">
      <alignment horizontal="centerContinuous" vertical="center" wrapText="1"/>
    </xf>
    <xf numFmtId="0" fontId="3" fillId="2" borderId="19" xfId="0" applyFont="1" applyFill="1" applyBorder="1" applyAlignment="1">
      <alignment horizontal="centerContinuous" vertical="center" wrapText="1"/>
    </xf>
    <xf numFmtId="0" fontId="3" fillId="2" borderId="20" xfId="0" applyFont="1" applyFill="1" applyBorder="1" applyAlignment="1">
      <alignment horizontal="centerContinuous" vertical="center" wrapText="1"/>
    </xf>
    <xf numFmtId="0" fontId="4" fillId="4" borderId="0" xfId="0" applyFont="1" applyFill="1" applyBorder="1" applyAlignment="1">
      <alignment vertical="center" wrapText="1"/>
    </xf>
    <xf numFmtId="0" fontId="8" fillId="5" borderId="18" xfId="0" applyFont="1" applyFill="1" applyBorder="1" applyAlignment="1">
      <alignment horizontal="left" vertical="center"/>
    </xf>
    <xf numFmtId="0" fontId="9" fillId="5" borderId="19" xfId="0" applyFont="1" applyFill="1" applyBorder="1" applyAlignment="1">
      <alignment horizontal="left" vertical="center"/>
    </xf>
    <xf numFmtId="0" fontId="9" fillId="5" borderId="20" xfId="0" applyFont="1" applyFill="1" applyBorder="1" applyAlignment="1">
      <alignment horizontal="left" vertical="center"/>
    </xf>
    <xf numFmtId="0" fontId="1" fillId="4" borderId="0" xfId="0" applyFont="1" applyFill="1" applyBorder="1" applyAlignment="1">
      <alignment horizontal="center" vertical="center"/>
    </xf>
    <xf numFmtId="0" fontId="10" fillId="6" borderId="18" xfId="0" applyFont="1" applyFill="1" applyBorder="1" applyAlignment="1">
      <alignment horizontal="left" vertical="center"/>
    </xf>
    <xf numFmtId="0" fontId="11" fillId="6" borderId="19" xfId="0" applyFont="1" applyFill="1" applyBorder="1" applyAlignment="1">
      <alignment horizontal="left" vertical="center"/>
    </xf>
    <xf numFmtId="0" fontId="11" fillId="6" borderId="20" xfId="0" applyFont="1" applyFill="1" applyBorder="1" applyAlignment="1">
      <alignment horizontal="left" vertical="center"/>
    </xf>
    <xf numFmtId="0" fontId="12" fillId="3" borderId="10" xfId="0" applyFont="1" applyFill="1" applyBorder="1" applyAlignment="1">
      <alignment horizontal="center" vertical="center" wrapText="1"/>
    </xf>
    <xf numFmtId="0" fontId="13" fillId="0" borderId="10" xfId="0" applyFont="1" applyFill="1" applyBorder="1" applyAlignment="1">
      <alignment vertical="center" wrapText="1"/>
    </xf>
    <xf numFmtId="0" fontId="13" fillId="0" borderId="10" xfId="0" applyFont="1" applyFill="1" applyBorder="1" applyAlignment="1">
      <alignment horizontal="center" vertical="center" wrapText="1"/>
    </xf>
    <xf numFmtId="0" fontId="1" fillId="4" borderId="0" xfId="0" applyFont="1" applyFill="1" applyBorder="1" applyAlignment="1">
      <alignment vertical="center" wrapText="1"/>
    </xf>
    <xf numFmtId="0" fontId="1" fillId="0" borderId="10" xfId="0" applyFont="1" applyFill="1" applyBorder="1" applyAlignment="1">
      <alignment vertical="center"/>
    </xf>
    <xf numFmtId="31" fontId="13" fillId="0" borderId="10" xfId="0" applyNumberFormat="1" applyFont="1" applyFill="1" applyBorder="1" applyAlignment="1">
      <alignment horizontal="center" vertical="center" wrapText="1"/>
    </xf>
    <xf numFmtId="31" fontId="13" fillId="0" borderId="10" xfId="0" applyNumberFormat="1" applyFont="1" applyFill="1" applyBorder="1" applyAlignment="1">
      <alignment vertical="center" wrapText="1"/>
    </xf>
    <xf numFmtId="0" fontId="12" fillId="0" borderId="10" xfId="0" applyFont="1" applyFill="1" applyBorder="1" applyAlignment="1">
      <alignment horizontal="center" vertical="center" wrapText="1"/>
    </xf>
    <xf numFmtId="176" fontId="12" fillId="0" borderId="10" xfId="0" applyNumberFormat="1" applyFont="1" applyFill="1" applyBorder="1" applyAlignment="1">
      <alignment horizontal="center" vertical="center" wrapText="1"/>
    </xf>
    <xf numFmtId="0" fontId="12" fillId="3" borderId="21" xfId="0" applyFont="1" applyFill="1" applyBorder="1" applyAlignment="1">
      <alignment horizontal="center" vertical="center" wrapText="1"/>
    </xf>
    <xf numFmtId="31" fontId="13" fillId="0" borderId="22" xfId="0" applyNumberFormat="1" applyFont="1" applyFill="1" applyBorder="1" applyAlignment="1">
      <alignment horizontal="center" vertical="center" wrapText="1"/>
    </xf>
    <xf numFmtId="31" fontId="13" fillId="0" borderId="23" xfId="0" applyNumberFormat="1" applyFont="1" applyFill="1" applyBorder="1" applyAlignment="1">
      <alignment horizontal="center" vertical="center" wrapText="1"/>
    </xf>
    <xf numFmtId="31" fontId="13" fillId="0" borderId="24" xfId="0" applyNumberFormat="1" applyFont="1" applyFill="1" applyBorder="1" applyAlignment="1">
      <alignment horizontal="center" vertical="center" wrapText="1"/>
    </xf>
    <xf numFmtId="10" fontId="13" fillId="0" borderId="10" xfId="0" applyNumberFormat="1" applyFont="1" applyFill="1" applyBorder="1" applyAlignment="1">
      <alignment horizontal="center" vertical="center" wrapText="1"/>
    </xf>
    <xf numFmtId="0" fontId="13" fillId="0" borderId="10" xfId="0" applyFont="1" applyFill="1" applyBorder="1" applyAlignment="1">
      <alignment horizontal="left" vertical="center" wrapText="1"/>
    </xf>
    <xf numFmtId="0" fontId="12" fillId="3" borderId="16" xfId="0" applyFont="1" applyFill="1" applyBorder="1" applyAlignment="1">
      <alignment horizontal="center" vertical="center" wrapText="1"/>
    </xf>
    <xf numFmtId="0" fontId="12" fillId="3" borderId="25" xfId="0" applyFont="1" applyFill="1" applyBorder="1" applyAlignment="1">
      <alignment horizontal="center" vertical="center" wrapText="1"/>
    </xf>
    <xf numFmtId="10" fontId="13" fillId="0" borderId="10" xfId="0" applyNumberFormat="1" applyFont="1" applyFill="1" applyBorder="1" applyAlignment="1">
      <alignment horizontal="left" vertical="center" wrapText="1"/>
    </xf>
    <xf numFmtId="10" fontId="13" fillId="0" borderId="18" xfId="0" applyNumberFormat="1" applyFont="1" applyFill="1" applyBorder="1" applyAlignment="1">
      <alignment horizontal="left" vertical="center" wrapText="1"/>
    </xf>
    <xf numFmtId="10" fontId="13" fillId="0" borderId="19" xfId="0" applyNumberFormat="1" applyFont="1" applyFill="1" applyBorder="1" applyAlignment="1">
      <alignment horizontal="left" vertical="center" wrapText="1"/>
    </xf>
    <xf numFmtId="10" fontId="13" fillId="0" borderId="20" xfId="0" applyNumberFormat="1" applyFont="1" applyFill="1" applyBorder="1" applyAlignment="1">
      <alignment horizontal="left" vertical="center" wrapText="1"/>
    </xf>
    <xf numFmtId="176" fontId="13" fillId="0" borderId="18" xfId="0" applyNumberFormat="1" applyFont="1" applyFill="1" applyBorder="1" applyAlignment="1">
      <alignment horizontal="center" vertical="center" wrapText="1"/>
    </xf>
    <xf numFmtId="176" fontId="13" fillId="0" borderId="20" xfId="0" applyNumberFormat="1" applyFont="1" applyFill="1" applyBorder="1" applyAlignment="1">
      <alignment horizontal="center" vertical="center" wrapText="1"/>
    </xf>
    <xf numFmtId="10" fontId="13" fillId="0" borderId="18" xfId="0" applyNumberFormat="1" applyFont="1" applyFill="1" applyBorder="1" applyAlignment="1">
      <alignment horizontal="center" vertical="center" wrapText="1"/>
    </xf>
    <xf numFmtId="10" fontId="13" fillId="0" borderId="20" xfId="0" applyNumberFormat="1" applyFont="1" applyFill="1" applyBorder="1" applyAlignment="1">
      <alignment horizontal="center" vertical="center" wrapText="1"/>
    </xf>
    <xf numFmtId="10" fontId="12" fillId="0" borderId="21" xfId="0" applyNumberFormat="1" applyFont="1" applyFill="1" applyBorder="1" applyAlignment="1">
      <alignment horizontal="center" vertical="center" wrapText="1"/>
    </xf>
    <xf numFmtId="176" fontId="12" fillId="0" borderId="18" xfId="0" applyNumberFormat="1" applyFont="1" applyFill="1" applyBorder="1" applyAlignment="1">
      <alignment horizontal="center" vertical="center" wrapText="1"/>
    </xf>
    <xf numFmtId="176" fontId="12" fillId="0" borderId="20" xfId="0" applyNumberFormat="1"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4" fillId="5" borderId="21" xfId="0" applyFont="1" applyFill="1" applyBorder="1" applyAlignment="1">
      <alignment horizontal="center" vertical="center"/>
    </xf>
    <xf numFmtId="0" fontId="14" fillId="5" borderId="20" xfId="0" applyFont="1" applyFill="1" applyBorder="1" applyAlignment="1">
      <alignment horizontal="center" vertical="center"/>
    </xf>
    <xf numFmtId="0" fontId="14" fillId="5" borderId="27" xfId="0" applyFont="1" applyFill="1" applyBorder="1" applyAlignment="1">
      <alignment horizontal="center" vertical="center"/>
    </xf>
    <xf numFmtId="10" fontId="15" fillId="0" borderId="16" xfId="0" applyNumberFormat="1" applyFont="1" applyFill="1" applyBorder="1" applyAlignment="1">
      <alignment horizontal="center" vertical="center" wrapText="1"/>
    </xf>
    <xf numFmtId="10" fontId="16" fillId="0" borderId="20" xfId="0" applyNumberFormat="1" applyFont="1" applyFill="1" applyBorder="1" applyAlignment="1">
      <alignment horizontal="center" vertical="center" wrapText="1"/>
    </xf>
    <xf numFmtId="10" fontId="15" fillId="0" borderId="25" xfId="0" applyNumberFormat="1" applyFont="1" applyFill="1" applyBorder="1" applyAlignment="1">
      <alignment horizontal="center" vertical="center" wrapText="1"/>
    </xf>
    <xf numFmtId="10" fontId="13" fillId="0" borderId="28" xfId="0" applyNumberFormat="1" applyFont="1" applyFill="1"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8064A2"/>
      <rgbColor rgb="00FFFFFF"/>
      <rgbColor rgb="00B2A2C7"/>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6B0301"/>
      <color rgb="00C4A27D"/>
      <color rgb="00F4EAE1"/>
      <color rgb="00F3F3F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r:id="rId1" ax:persistence="persistStreamInit"/>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rgbClr val="6B0301"/>
              </a:solidFill>
              <a:round/>
            </a:ln>
            <a:effectLst/>
          </c:spPr>
          <c:marker>
            <c:symbol val="none"/>
          </c:marker>
          <c:dLbls>
            <c:delete val="1"/>
          </c:dLbls>
          <c:cat>
            <c:strRef>
              <c:f>项目前置研判信息表!$C$62:$C$66</c:f>
              <c:strCache>
                <c:ptCount val="5"/>
                <c:pt idx="0" c:formatCode="0.00%">
                  <c:v>行业赛道</c:v>
                </c:pt>
                <c:pt idx="1" c:formatCode="0.00%">
                  <c:v>股东背景</c:v>
                </c:pt>
                <c:pt idx="2" c:formatCode="0.00%">
                  <c:v>标的公司</c:v>
                </c:pt>
                <c:pt idx="3" c:formatCode="0.00%">
                  <c:v>估值合理性</c:v>
                </c:pt>
                <c:pt idx="4" c:formatCode="0.00%">
                  <c:v>退出可行性</c:v>
                </c:pt>
              </c:strCache>
            </c:strRef>
          </c:cat>
          <c:val>
            <c:numRef>
              <c:f>项目前置研判信息表!$D$62:$D$66</c:f>
              <c:numCache>
                <c:formatCode>0.00%</c:formatCode>
                <c:ptCount val="5"/>
                <c:pt idx="0">
                  <c:v>0.75</c:v>
                </c:pt>
                <c:pt idx="1">
                  <c:v>0.666666666666667</c:v>
                </c:pt>
                <c:pt idx="2">
                  <c:v>0.75</c:v>
                </c:pt>
                <c:pt idx="3">
                  <c:v>1</c:v>
                </c:pt>
                <c:pt idx="4">
                  <c:v>0.5</c:v>
                </c:pt>
              </c:numCache>
            </c:numRef>
          </c:val>
        </c:ser>
        <c:dLbls>
          <c:showLegendKey val="0"/>
          <c:showVal val="0"/>
          <c:showCatName val="0"/>
          <c:showSerName val="0"/>
          <c:showPercent val="0"/>
          <c:showBubbleSize val="0"/>
        </c:dLbls>
        <c:axId val="421677552"/>
        <c:axId val="289106412"/>
      </c:radarChart>
      <c:catAx>
        <c:axId val="4216775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289106412"/>
        <c:crosses val="autoZero"/>
        <c:auto val="1"/>
        <c:lblAlgn val="ctr"/>
        <c:lblOffset val="100"/>
        <c:noMultiLvlLbl val="0"/>
      </c:catAx>
      <c:valAx>
        <c:axId val="289106412"/>
        <c:scaling>
          <c:orientation val="minMax"/>
        </c:scaling>
        <c:delete val="1"/>
        <c:axPos val="l"/>
        <c:majorGridlines>
          <c:spPr>
            <a:ln w="9525" cap="flat" cmpd="sng" algn="ctr">
              <a:solidFill>
                <a:schemeClr val="bg1">
                  <a:lumMod val="75000"/>
                </a:schemeClr>
              </a:solidFill>
              <a:round/>
            </a:ln>
            <a:effectLst>
              <a:outerShdw blurRad="50800" dist="50800" dir="5400000" algn="ctr" rotWithShape="0">
                <a:srgbClr val="F3F3F1">
                  <a:alpha val="100000"/>
                </a:srgbClr>
              </a:outerShdw>
            </a:effectLst>
          </c:spPr>
        </c:majorGridlines>
        <c:numFmt formatCode="0.00%"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21677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101600">
        <a:schemeClr val="bg1">
          <a:lumMod val="65000"/>
          <a:alpha val="40000"/>
        </a:schemeClr>
      </a:glow>
      <a:outerShdw blurRad="50800" dist="38100" dir="2700000" algn="tl" rotWithShape="0">
        <a:prstClr val="black">
          <a:alpha val="40000"/>
        </a:prstClr>
      </a:outerShdw>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2.xml><?xml version="1.0" encoding="utf-8"?>
<formControlPr xmlns="http://schemas.microsoft.com/office/spreadsheetml/2009/9/main" objectType="Button" val="0"/>
</file>

<file path=xl/ctrlProps/ctrlProp3.xml><?xml version="1.0" encoding="utf-8"?>
<formControlPr xmlns="http://schemas.microsoft.com/office/spreadsheetml/2009/9/main" objectType="Button" val="0"/>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72390</xdr:colOff>
      <xdr:row>61</xdr:row>
      <xdr:rowOff>27305</xdr:rowOff>
    </xdr:from>
    <xdr:to>
      <xdr:col>1</xdr:col>
      <xdr:colOff>2427605</xdr:colOff>
      <xdr:row>65</xdr:row>
      <xdr:rowOff>391795</xdr:rowOff>
    </xdr:to>
    <xdr:graphicFrame>
      <xdr:nvGraphicFramePr>
        <xdr:cNvPr id="2" name="图表 1"/>
        <xdr:cNvGraphicFramePr/>
      </xdr:nvGraphicFramePr>
      <xdr:xfrm>
        <a:off x="1777365" y="23347680"/>
        <a:ext cx="2355215" cy="162369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876935</xdr:colOff>
      <xdr:row>0</xdr:row>
      <xdr:rowOff>635</xdr:rowOff>
    </xdr:from>
    <xdr:to>
      <xdr:col>4</xdr:col>
      <xdr:colOff>217805</xdr:colOff>
      <xdr:row>1</xdr:row>
      <xdr:rowOff>276225</xdr:rowOff>
    </xdr:to>
    <xdr:pic>
      <xdr:nvPicPr>
        <xdr:cNvPr id="3" name="图片 35"/>
        <xdr:cNvPicPr>
          <a:picLocks noChangeAspect="1"/>
        </xdr:cNvPicPr>
      </xdr:nvPicPr>
      <xdr:blipFill>
        <a:blip r:embed="rId2"/>
        <a:stretch>
          <a:fillRect/>
        </a:stretch>
      </xdr:blipFill>
      <xdr:spPr>
        <a:xfrm>
          <a:off x="6497320" y="635"/>
          <a:ext cx="1908175" cy="72009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7</xdr:col>
          <xdr:colOff>91440</xdr:colOff>
          <xdr:row>0</xdr:row>
          <xdr:rowOff>90805</xdr:rowOff>
        </xdr:from>
        <xdr:to>
          <xdr:col>8</xdr:col>
          <xdr:colOff>167640</xdr:colOff>
          <xdr:row>0</xdr:row>
          <xdr:rowOff>365760</xdr:rowOff>
        </xdr:to>
        <xdr:sp macro="[1]!开始评分_click">
          <xdr:nvSpPr>
            <xdr:cNvPr id="2049" name="Button 1" hidden="1">
              <a:extLst>
                <a:ext uri="{63B3BB69-23CF-44E3-9099-C40C66FF867C}">
                  <a14:compatExt spid="_x0000_s2049"/>
                </a:ext>
              </a:extLst>
            </xdr:cNvPr>
            <xdr:cNvSpPr/>
          </xdr:nvSpPr>
          <xdr:spPr>
            <a:xfrm>
              <a:off x="11151870" y="90805"/>
              <a:ext cx="0" cy="274955"/>
            </a:xfrm>
            <a:prstGeom prst="rect">
              <a:avLst/>
            </a:prstGeom>
          </xdr:spPr>
          <xdr:txBody>
            <a:bodyPr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开始打分</a:t>
              </a:r>
              <a:endPar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2354580</xdr:colOff>
          <xdr:row>0</xdr:row>
          <xdr:rowOff>90805</xdr:rowOff>
        </xdr:from>
        <xdr:to>
          <xdr:col>9</xdr:col>
          <xdr:colOff>496570</xdr:colOff>
          <xdr:row>0</xdr:row>
          <xdr:rowOff>396875</xdr:rowOff>
        </xdr:to>
        <xdr:sp>
          <xdr:nvSpPr>
            <xdr:cNvPr id="2050" name="CommandButton1" hidden="1">
              <a:extLst>
                <a:ext uri="{63B3BB69-23CF-44E3-9099-C40C66FF867C}">
                  <a14:compatExt spid="_x0000_s2050"/>
                </a:ext>
              </a:extLst>
            </xdr:cNvPr>
            <xdr:cNvSpPr/>
          </xdr:nvSpPr>
          <xdr:spPr>
            <a:xfrm>
              <a:off x="9704070" y="90805"/>
              <a:ext cx="1944370" cy="30607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88265</xdr:colOff>
          <xdr:row>0</xdr:row>
          <xdr:rowOff>96520</xdr:rowOff>
        </xdr:from>
        <xdr:to>
          <xdr:col>8</xdr:col>
          <xdr:colOff>164465</xdr:colOff>
          <xdr:row>0</xdr:row>
          <xdr:rowOff>371475</xdr:rowOff>
        </xdr:to>
        <xdr:sp macro="[1]!开始评分_click">
          <xdr:nvSpPr>
            <xdr:cNvPr id="2051" name="Button 1037" hidden="1">
              <a:extLst>
                <a:ext uri="{63B3BB69-23CF-44E3-9099-C40C66FF867C}">
                  <a14:compatExt spid="_x0000_s2051"/>
                </a:ext>
              </a:extLst>
            </xdr:cNvPr>
            <xdr:cNvSpPr/>
          </xdr:nvSpPr>
          <xdr:spPr>
            <a:xfrm>
              <a:off x="11151870" y="96520"/>
              <a:ext cx="0" cy="274955"/>
            </a:xfrm>
            <a:prstGeom prst="rect">
              <a:avLst/>
            </a:prstGeom>
          </xdr:spPr>
          <xdr:txBody>
            <a:bodyPr vert="horz" wrap="square" lIns="27432" tIns="18288" rIns="27432" bIns="18288"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开始打分</a:t>
              </a:r>
              <a:endParaRPr lang="zh-CN" altLang="en-US" sz="1200">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8468;&#20214;&#19977;&#65306;&#30003;&#35831;&#31435;&#39033;&#39033;&#30446;&#35201;&#32032;&#34920;v10.xls" TargetMode="External"/></Relationships>
</file>

<file path=xl/externalLinks/externalLink1.xml><?xml version="1.0" encoding="utf-8"?>
<externalLink xmlns="http://schemas.openxmlformats.org/spreadsheetml/2006/main">
  <externalBook xmlns:r="http://schemas.openxmlformats.org/officeDocument/2006/relationships" r:id="rId1">
    <definedNames>
      <definedName name="开始评分_click" refersTo="=#NAME?"/>
    </definedNames>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image" Target="../media/image2.wmf"/><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O95"/>
  <sheetViews>
    <sheetView tabSelected="1" zoomScale="160" zoomScaleNormal="160" workbookViewId="0">
      <selection activeCell="A15" sqref="A15"/>
    </sheetView>
  </sheetViews>
  <sheetFormatPr defaultColWidth="9" defaultRowHeight="14.25"/>
  <cols>
    <col min="1" max="1" width="22.375" style="36" customWidth="1"/>
    <col min="2" max="2" width="33.2583333333333" style="1" customWidth="1"/>
    <col min="3" max="3" width="18.125" style="37" customWidth="1"/>
    <col min="4" max="4" width="33.6916666666667" style="1" customWidth="1"/>
    <col min="5" max="5" width="29.1333333333333" style="38" customWidth="1"/>
    <col min="6" max="6" width="10.25" style="38" customWidth="1"/>
    <col min="7" max="7" width="9" style="38"/>
    <col min="8" max="8" width="11" style="38" customWidth="1"/>
    <col min="9" max="15" width="9" style="38"/>
    <col min="16" max="16384" width="9" style="1"/>
  </cols>
  <sheetData>
    <row r="1" s="1" customFormat="1" ht="35" customHeight="1" spans="1:15">
      <c r="A1" s="39" t="s">
        <v>0</v>
      </c>
      <c r="B1" s="40"/>
      <c r="C1" s="40"/>
      <c r="D1" s="41"/>
      <c r="E1" s="42"/>
      <c r="F1" s="42"/>
      <c r="G1" s="42"/>
      <c r="H1" s="42"/>
      <c r="I1" s="42"/>
      <c r="J1" s="38"/>
      <c r="K1" s="38"/>
      <c r="L1" s="38"/>
      <c r="M1" s="38"/>
      <c r="N1" s="38"/>
      <c r="O1" s="38"/>
    </row>
    <row r="2" s="1" customFormat="1" ht="24" customHeight="1" spans="1:15">
      <c r="A2" s="43" t="s">
        <v>1</v>
      </c>
      <c r="B2" s="44"/>
      <c r="C2" s="44"/>
      <c r="D2" s="45"/>
      <c r="E2" s="46"/>
      <c r="F2" s="46"/>
      <c r="G2" s="46"/>
      <c r="H2" s="46"/>
      <c r="I2" s="46"/>
      <c r="J2" s="38"/>
      <c r="K2" s="38"/>
      <c r="L2" s="38"/>
      <c r="M2" s="38"/>
      <c r="N2" s="38"/>
      <c r="O2" s="38"/>
    </row>
    <row r="3" s="1" customFormat="1" ht="18.75" spans="1:15">
      <c r="A3" s="47" t="s">
        <v>2</v>
      </c>
      <c r="B3" s="48"/>
      <c r="C3" s="48"/>
      <c r="D3" s="49"/>
      <c r="E3" s="46"/>
      <c r="F3" s="46"/>
      <c r="G3" s="46"/>
      <c r="H3" s="46"/>
      <c r="I3" s="46"/>
      <c r="J3" s="38"/>
      <c r="K3" s="38"/>
      <c r="L3" s="38"/>
      <c r="M3" s="38"/>
      <c r="N3" s="38"/>
      <c r="O3" s="38"/>
    </row>
    <row r="4" s="1" customFormat="1" ht="33" customHeight="1" spans="1:15">
      <c r="A4" s="50" t="s">
        <v>3</v>
      </c>
      <c r="B4" s="51"/>
      <c r="C4" s="50" t="s">
        <v>4</v>
      </c>
      <c r="D4" s="52" t="s">
        <v>5</v>
      </c>
      <c r="E4" s="53"/>
      <c r="F4" s="53"/>
      <c r="G4" s="53"/>
      <c r="H4" s="53"/>
      <c r="I4" s="38"/>
      <c r="J4" s="38"/>
      <c r="K4" s="38"/>
      <c r="L4" s="38"/>
      <c r="M4" s="38"/>
      <c r="N4" s="38"/>
      <c r="O4" s="38"/>
    </row>
    <row r="5" s="1" customFormat="1" ht="33" customHeight="1" spans="1:15">
      <c r="A5" s="50" t="s">
        <v>6</v>
      </c>
      <c r="C5" s="50" t="s">
        <v>7</v>
      </c>
      <c r="D5" s="54"/>
      <c r="E5" s="53"/>
      <c r="F5" s="53"/>
      <c r="G5" s="53"/>
      <c r="H5" s="38"/>
      <c r="I5" s="38"/>
      <c r="J5" s="38"/>
      <c r="K5" s="38"/>
      <c r="L5" s="38"/>
      <c r="M5" s="38"/>
      <c r="N5" s="38"/>
      <c r="O5" s="38"/>
    </row>
    <row r="6" s="1" customFormat="1" ht="33" customHeight="1" spans="1:15">
      <c r="A6" s="50" t="s">
        <v>8</v>
      </c>
      <c r="B6" s="51" t="s">
        <v>9</v>
      </c>
      <c r="C6" s="50" t="s">
        <v>10</v>
      </c>
      <c r="D6" s="52" t="s">
        <v>11</v>
      </c>
      <c r="E6" s="53"/>
      <c r="F6" s="53"/>
      <c r="G6" s="53"/>
      <c r="H6" s="38"/>
      <c r="I6" s="38"/>
      <c r="J6" s="38"/>
      <c r="K6" s="38"/>
      <c r="L6" s="38"/>
      <c r="M6" s="38"/>
      <c r="N6" s="38"/>
      <c r="O6" s="38"/>
    </row>
    <row r="7" s="1" customFormat="1" ht="33" customHeight="1" spans="1:15">
      <c r="A7" s="50" t="s">
        <v>12</v>
      </c>
      <c r="B7" s="52"/>
      <c r="C7" s="50" t="s">
        <v>13</v>
      </c>
      <c r="D7" s="52" t="s">
        <v>14</v>
      </c>
      <c r="E7" s="53"/>
      <c r="F7" s="53"/>
      <c r="G7" s="53"/>
      <c r="H7" s="53"/>
      <c r="I7" s="38"/>
      <c r="J7" s="38"/>
      <c r="K7" s="38"/>
      <c r="L7" s="38"/>
      <c r="M7" s="38"/>
      <c r="N7" s="38"/>
      <c r="O7" s="38"/>
    </row>
    <row r="8" s="1" customFormat="1" ht="33" customHeight="1" spans="1:15">
      <c r="A8" s="50" t="s">
        <v>15</v>
      </c>
      <c r="B8" s="55" t="s">
        <v>16</v>
      </c>
      <c r="C8" s="50" t="s">
        <v>17</v>
      </c>
      <c r="D8" s="55" t="s">
        <v>18</v>
      </c>
      <c r="E8" s="53"/>
      <c r="F8" s="53"/>
      <c r="G8" s="53"/>
      <c r="H8" s="53"/>
      <c r="I8" s="38"/>
      <c r="J8" s="38"/>
      <c r="K8" s="38"/>
      <c r="L8" s="38"/>
      <c r="M8" s="38"/>
      <c r="N8" s="38"/>
      <c r="O8" s="38"/>
    </row>
    <row r="9" s="1" customFormat="1" ht="18.75" spans="1:15">
      <c r="A9" s="47" t="s">
        <v>19</v>
      </c>
      <c r="B9" s="48"/>
      <c r="C9" s="48"/>
      <c r="D9" s="49"/>
      <c r="E9" s="53"/>
      <c r="F9" s="53"/>
      <c r="G9" s="53"/>
      <c r="H9" s="53"/>
      <c r="I9" s="38"/>
      <c r="J9" s="38"/>
      <c r="K9" s="38"/>
      <c r="L9" s="38"/>
      <c r="M9" s="38"/>
      <c r="N9" s="38"/>
      <c r="O9" s="38"/>
    </row>
    <row r="10" s="1" customFormat="1" ht="33" customHeight="1" spans="1:15">
      <c r="A10" s="50" t="s">
        <v>20</v>
      </c>
      <c r="B10" s="56"/>
      <c r="C10" s="50" t="s">
        <v>21</v>
      </c>
      <c r="D10" s="55" t="s">
        <v>16</v>
      </c>
      <c r="E10" s="53"/>
      <c r="F10" s="53"/>
      <c r="G10" s="53"/>
      <c r="H10" s="53"/>
      <c r="I10" s="38"/>
      <c r="J10" s="38"/>
      <c r="K10" s="38"/>
      <c r="L10" s="38"/>
      <c r="M10" s="38"/>
      <c r="N10" s="38"/>
      <c r="O10" s="38"/>
    </row>
    <row r="11" s="1" customFormat="1" ht="33" customHeight="1" spans="1:15">
      <c r="A11" s="50" t="s">
        <v>22</v>
      </c>
      <c r="B11" s="57"/>
      <c r="C11" s="50" t="s">
        <v>13</v>
      </c>
      <c r="D11" s="58"/>
      <c r="E11" s="53"/>
      <c r="F11" s="53"/>
      <c r="G11" s="53"/>
      <c r="H11" s="53"/>
      <c r="I11" s="38"/>
      <c r="J11" s="38"/>
      <c r="K11" s="38"/>
      <c r="L11" s="38"/>
      <c r="M11" s="38"/>
      <c r="N11" s="38"/>
      <c r="O11" s="38"/>
    </row>
    <row r="12" s="1" customFormat="1" ht="18.75" spans="1:15">
      <c r="A12" s="47" t="s">
        <v>23</v>
      </c>
      <c r="B12" s="48"/>
      <c r="C12" s="48"/>
      <c r="D12" s="49"/>
      <c r="E12" s="53"/>
      <c r="F12" s="53"/>
      <c r="G12" s="53"/>
      <c r="H12" s="53"/>
      <c r="I12" s="38"/>
      <c r="J12" s="38"/>
      <c r="K12" s="38"/>
      <c r="L12" s="38"/>
      <c r="M12" s="38"/>
      <c r="N12" s="38"/>
      <c r="O12" s="38"/>
    </row>
    <row r="13" s="1" customFormat="1" ht="33" customHeight="1" spans="1:15">
      <c r="A13" s="50" t="s">
        <v>24</v>
      </c>
      <c r="B13" s="55" t="s">
        <v>25</v>
      </c>
      <c r="C13" s="55"/>
      <c r="D13" s="55"/>
      <c r="E13" s="53"/>
      <c r="F13" s="53"/>
      <c r="G13" s="53"/>
      <c r="H13" s="53"/>
      <c r="I13" s="38"/>
      <c r="J13" s="38"/>
      <c r="K13" s="38"/>
      <c r="L13" s="38"/>
      <c r="M13" s="38"/>
      <c r="N13" s="38"/>
      <c r="O13" s="38"/>
    </row>
    <row r="14" s="1" customFormat="1" ht="33" customHeight="1" spans="1:15">
      <c r="A14" s="50"/>
      <c r="B14" s="55" t="s">
        <v>26</v>
      </c>
      <c r="C14" s="55"/>
      <c r="D14" s="55"/>
      <c r="E14" s="53"/>
      <c r="F14" s="53"/>
      <c r="G14" s="53"/>
      <c r="H14" s="53"/>
      <c r="I14" s="38"/>
      <c r="J14" s="38"/>
      <c r="K14" s="38"/>
      <c r="L14" s="38"/>
      <c r="M14" s="38"/>
      <c r="N14" s="38"/>
      <c r="O14" s="38"/>
    </row>
    <row r="15" s="1" customFormat="1" ht="33" customHeight="1" spans="1:15">
      <c r="A15" s="59" t="s">
        <v>27</v>
      </c>
      <c r="B15" s="60" t="s">
        <v>28</v>
      </c>
      <c r="C15" s="61"/>
      <c r="D15" s="62"/>
      <c r="E15" s="53"/>
      <c r="F15" s="53"/>
      <c r="G15" s="53"/>
      <c r="H15" s="53"/>
      <c r="I15" s="38"/>
      <c r="J15" s="38"/>
      <c r="K15" s="38"/>
      <c r="L15" s="38"/>
      <c r="M15" s="38"/>
      <c r="N15" s="38"/>
      <c r="O15" s="38"/>
    </row>
    <row r="16" s="1" customFormat="1" ht="22" customHeight="1" spans="1:15">
      <c r="A16" s="43" t="s">
        <v>29</v>
      </c>
      <c r="B16" s="44"/>
      <c r="C16" s="44"/>
      <c r="D16" s="45"/>
      <c r="E16" s="53"/>
      <c r="F16" s="53"/>
      <c r="G16" s="53"/>
      <c r="H16" s="53"/>
      <c r="I16" s="38"/>
      <c r="J16" s="38"/>
      <c r="K16" s="38"/>
      <c r="L16" s="38"/>
      <c r="M16" s="38"/>
      <c r="N16" s="38"/>
      <c r="O16" s="38"/>
    </row>
    <row r="17" s="1" customFormat="1" ht="33" customHeight="1" spans="1:15">
      <c r="A17" s="50" t="s">
        <v>30</v>
      </c>
      <c r="B17" s="52" t="s">
        <v>31</v>
      </c>
      <c r="C17" s="50" t="s">
        <v>32</v>
      </c>
      <c r="D17" s="52" t="s">
        <v>33</v>
      </c>
      <c r="E17" s="53"/>
      <c r="F17" s="53"/>
      <c r="G17" s="53"/>
      <c r="H17" s="53"/>
      <c r="I17" s="38"/>
      <c r="J17" s="38"/>
      <c r="K17" s="38"/>
      <c r="L17" s="38"/>
      <c r="M17" s="38"/>
      <c r="N17" s="38"/>
      <c r="O17" s="38"/>
    </row>
    <row r="18" s="1" customFormat="1" ht="33" customHeight="1" spans="1:15">
      <c r="A18" s="50" t="s">
        <v>34</v>
      </c>
      <c r="B18" s="52" t="s">
        <v>35</v>
      </c>
      <c r="C18" s="50" t="s">
        <v>36</v>
      </c>
      <c r="D18" s="63"/>
      <c r="E18" s="53"/>
      <c r="F18" s="53"/>
      <c r="G18" s="53"/>
      <c r="H18" s="53"/>
      <c r="I18" s="38"/>
      <c r="J18" s="38"/>
      <c r="K18" s="38"/>
      <c r="L18" s="38"/>
      <c r="M18" s="38"/>
      <c r="N18" s="38"/>
      <c r="O18" s="38"/>
    </row>
    <row r="19" s="1" customFormat="1" ht="33" customHeight="1" spans="1:15">
      <c r="A19" s="59" t="s">
        <v>37</v>
      </c>
      <c r="B19" s="64" t="s">
        <v>38</v>
      </c>
      <c r="C19" s="64"/>
      <c r="D19" s="64"/>
      <c r="E19" s="53"/>
      <c r="F19" s="53"/>
      <c r="G19" s="53"/>
      <c r="H19" s="53"/>
      <c r="I19" s="38"/>
      <c r="J19" s="38"/>
      <c r="K19" s="38"/>
      <c r="L19" s="38"/>
      <c r="M19" s="38"/>
      <c r="N19" s="38"/>
      <c r="O19" s="38"/>
    </row>
    <row r="20" s="1" customFormat="1" ht="33" customHeight="1" spans="1:15">
      <c r="A20" s="65"/>
      <c r="B20" s="64" t="s">
        <v>39</v>
      </c>
      <c r="C20" s="64"/>
      <c r="D20" s="64"/>
      <c r="E20" s="53"/>
      <c r="F20" s="53"/>
      <c r="G20" s="53"/>
      <c r="H20" s="53"/>
      <c r="I20" s="38"/>
      <c r="J20" s="38"/>
      <c r="K20" s="38"/>
      <c r="L20" s="38"/>
      <c r="M20" s="38"/>
      <c r="N20" s="38"/>
      <c r="O20" s="38"/>
    </row>
    <row r="21" s="1" customFormat="1" ht="33" customHeight="1" spans="1:15">
      <c r="A21" s="66"/>
      <c r="B21" s="64" t="s">
        <v>40</v>
      </c>
      <c r="C21" s="64"/>
      <c r="D21" s="64"/>
      <c r="E21" s="53"/>
      <c r="F21" s="53"/>
      <c r="G21" s="53"/>
      <c r="H21" s="53"/>
      <c r="I21" s="38"/>
      <c r="J21" s="38"/>
      <c r="K21" s="38"/>
      <c r="L21" s="38"/>
      <c r="M21" s="38"/>
      <c r="N21" s="38"/>
      <c r="O21" s="38"/>
    </row>
    <row r="22" s="1" customFormat="1" ht="33" customHeight="1" spans="1:15">
      <c r="A22" s="50" t="s">
        <v>41</v>
      </c>
      <c r="B22" s="64" t="s">
        <v>42</v>
      </c>
      <c r="C22" s="64"/>
      <c r="D22" s="64"/>
      <c r="E22" s="53"/>
      <c r="F22" s="53"/>
      <c r="G22" s="53"/>
      <c r="H22" s="53"/>
      <c r="I22" s="38"/>
      <c r="J22" s="38"/>
      <c r="K22" s="38"/>
      <c r="L22" s="38"/>
      <c r="M22" s="38"/>
      <c r="N22" s="38"/>
      <c r="O22" s="38"/>
    </row>
    <row r="23" s="1" customFormat="1" ht="33" customHeight="1" spans="1:15">
      <c r="A23" s="50" t="s">
        <v>43</v>
      </c>
      <c r="B23" s="64" t="s">
        <v>44</v>
      </c>
      <c r="C23" s="64"/>
      <c r="D23" s="64"/>
      <c r="E23" s="53"/>
      <c r="F23" s="53"/>
      <c r="G23" s="53"/>
      <c r="H23" s="53"/>
      <c r="I23" s="38"/>
      <c r="J23" s="38"/>
      <c r="K23" s="38"/>
      <c r="L23" s="38"/>
      <c r="M23" s="38"/>
      <c r="N23" s="38"/>
      <c r="O23" s="38"/>
    </row>
    <row r="24" s="1" customFormat="1" ht="33" customHeight="1" spans="1:15">
      <c r="A24" s="50" t="s">
        <v>45</v>
      </c>
      <c r="B24" s="64" t="s">
        <v>46</v>
      </c>
      <c r="C24" s="64"/>
      <c r="D24" s="64"/>
      <c r="E24" s="53"/>
      <c r="F24" s="53"/>
      <c r="G24" s="53"/>
      <c r="H24" s="53"/>
      <c r="I24" s="38"/>
      <c r="J24" s="38"/>
      <c r="K24" s="38"/>
      <c r="L24" s="38"/>
      <c r="M24" s="38"/>
      <c r="N24" s="38"/>
      <c r="O24" s="38"/>
    </row>
    <row r="25" s="1" customFormat="1" ht="33" customHeight="1" spans="1:15">
      <c r="A25" s="50" t="s">
        <v>47</v>
      </c>
      <c r="B25" s="64" t="s">
        <v>48</v>
      </c>
      <c r="C25" s="64"/>
      <c r="D25" s="64"/>
      <c r="E25" s="53"/>
      <c r="F25" s="53"/>
      <c r="G25" s="53"/>
      <c r="H25" s="53"/>
      <c r="I25" s="38"/>
      <c r="J25" s="38"/>
      <c r="K25" s="38"/>
      <c r="L25" s="38"/>
      <c r="M25" s="38"/>
      <c r="N25" s="38"/>
      <c r="O25" s="38"/>
    </row>
    <row r="26" s="1" customFormat="1" ht="33" customHeight="1" spans="1:15">
      <c r="A26" s="50" t="s">
        <v>49</v>
      </c>
      <c r="B26" s="64" t="s">
        <v>50</v>
      </c>
      <c r="C26" s="64"/>
      <c r="D26" s="64"/>
      <c r="E26" s="53"/>
      <c r="F26" s="53"/>
      <c r="G26" s="53"/>
      <c r="H26" s="53"/>
      <c r="I26" s="38"/>
      <c r="J26" s="38"/>
      <c r="K26" s="38"/>
      <c r="L26" s="38"/>
      <c r="M26" s="38"/>
      <c r="N26" s="38"/>
      <c r="O26" s="38"/>
    </row>
    <row r="27" s="1" customFormat="1" ht="33" customHeight="1" spans="1:15">
      <c r="A27" s="50" t="s">
        <v>51</v>
      </c>
      <c r="B27" s="64" t="s">
        <v>52</v>
      </c>
      <c r="C27" s="64"/>
      <c r="D27" s="64"/>
      <c r="E27" s="53"/>
      <c r="F27" s="53"/>
      <c r="G27" s="53"/>
      <c r="H27" s="53"/>
      <c r="I27" s="38"/>
      <c r="J27" s="38"/>
      <c r="K27" s="38"/>
      <c r="L27" s="38"/>
      <c r="M27" s="38"/>
      <c r="N27" s="38"/>
      <c r="O27" s="38"/>
    </row>
    <row r="28" s="1" customFormat="1" ht="21" customHeight="1" spans="1:15">
      <c r="A28" s="43" t="s">
        <v>53</v>
      </c>
      <c r="B28" s="44"/>
      <c r="C28" s="44"/>
      <c r="D28" s="45"/>
      <c r="E28" s="53"/>
      <c r="F28" s="53"/>
      <c r="G28" s="53"/>
      <c r="H28" s="53"/>
      <c r="I28" s="38"/>
      <c r="J28" s="38"/>
      <c r="K28" s="38"/>
      <c r="L28" s="38"/>
      <c r="M28" s="38"/>
      <c r="N28" s="38"/>
      <c r="O28" s="38"/>
    </row>
    <row r="29" s="1" customFormat="1" ht="32" customHeight="1" spans="1:15">
      <c r="A29" s="50" t="s">
        <v>54</v>
      </c>
      <c r="B29" s="67" t="s">
        <v>55</v>
      </c>
      <c r="C29" s="67"/>
      <c r="D29" s="67"/>
      <c r="E29" s="53"/>
      <c r="F29" s="53"/>
      <c r="G29" s="53"/>
      <c r="H29" s="53"/>
      <c r="I29" s="38"/>
      <c r="J29" s="38"/>
      <c r="K29" s="38"/>
      <c r="L29" s="38"/>
      <c r="M29" s="38"/>
      <c r="N29" s="38"/>
      <c r="O29" s="38"/>
    </row>
    <row r="30" s="1" customFormat="1" ht="32" customHeight="1" spans="1:15">
      <c r="A30" s="50"/>
      <c r="B30" s="67" t="s">
        <v>56</v>
      </c>
      <c r="C30" s="67"/>
      <c r="D30" s="67"/>
      <c r="E30" s="53"/>
      <c r="F30" s="53"/>
      <c r="G30" s="53"/>
      <c r="H30" s="53"/>
      <c r="I30" s="38"/>
      <c r="J30" s="38"/>
      <c r="K30" s="38"/>
      <c r="L30" s="38"/>
      <c r="M30" s="38"/>
      <c r="N30" s="38"/>
      <c r="O30" s="38"/>
    </row>
    <row r="31" s="1" customFormat="1" ht="32" customHeight="1" spans="1:15">
      <c r="A31" s="50"/>
      <c r="B31" s="67" t="s">
        <v>57</v>
      </c>
      <c r="C31" s="67"/>
      <c r="D31" s="67"/>
      <c r="E31" s="53"/>
      <c r="F31" s="53"/>
      <c r="G31" s="53"/>
      <c r="H31" s="53"/>
      <c r="I31" s="38"/>
      <c r="J31" s="38"/>
      <c r="K31" s="38"/>
      <c r="L31" s="38"/>
      <c r="M31" s="38"/>
      <c r="N31" s="38"/>
      <c r="O31" s="38"/>
    </row>
    <row r="32" s="1" customFormat="1" ht="32" customHeight="1" spans="1:15">
      <c r="A32" s="50"/>
      <c r="B32" s="67" t="s">
        <v>58</v>
      </c>
      <c r="C32" s="67"/>
      <c r="D32" s="67"/>
      <c r="E32" s="53"/>
      <c r="F32" s="53"/>
      <c r="G32" s="53"/>
      <c r="H32" s="53"/>
      <c r="I32" s="38"/>
      <c r="J32" s="38"/>
      <c r="K32" s="38"/>
      <c r="L32" s="38"/>
      <c r="M32" s="38"/>
      <c r="N32" s="38"/>
      <c r="O32" s="38"/>
    </row>
    <row r="33" s="1" customFormat="1" ht="32" customHeight="1" spans="1:15">
      <c r="A33" s="50"/>
      <c r="B33" s="67" t="s">
        <v>59</v>
      </c>
      <c r="C33" s="67"/>
      <c r="D33" s="67"/>
      <c r="E33" s="53"/>
      <c r="F33" s="53"/>
      <c r="G33" s="53"/>
      <c r="H33" s="53"/>
      <c r="I33" s="38"/>
      <c r="J33" s="38"/>
      <c r="K33" s="38"/>
      <c r="L33" s="38"/>
      <c r="M33" s="38"/>
      <c r="N33" s="38"/>
      <c r="O33" s="38"/>
    </row>
    <row r="34" s="1" customFormat="1" ht="32" customHeight="1" spans="1:15">
      <c r="A34" s="59" t="s">
        <v>60</v>
      </c>
      <c r="B34" s="68" t="s">
        <v>61</v>
      </c>
      <c r="C34" s="69"/>
      <c r="D34" s="70"/>
      <c r="E34" s="53"/>
      <c r="F34" s="53"/>
      <c r="G34" s="53"/>
      <c r="H34" s="53"/>
      <c r="I34" s="38"/>
      <c r="J34" s="38"/>
      <c r="K34" s="38"/>
      <c r="L34" s="38"/>
      <c r="M34" s="38"/>
      <c r="N34" s="38"/>
      <c r="O34" s="38"/>
    </row>
    <row r="35" s="1" customFormat="1" ht="32" customHeight="1" spans="1:15">
      <c r="A35" s="65"/>
      <c r="B35" s="68" t="s">
        <v>62</v>
      </c>
      <c r="C35" s="69"/>
      <c r="D35" s="70"/>
      <c r="E35" s="53"/>
      <c r="F35" s="53"/>
      <c r="G35" s="53"/>
      <c r="H35" s="53"/>
      <c r="I35" s="38"/>
      <c r="J35" s="38"/>
      <c r="K35" s="38"/>
      <c r="L35" s="38"/>
      <c r="M35" s="38"/>
      <c r="N35" s="38"/>
      <c r="O35" s="38"/>
    </row>
    <row r="36" s="1" customFormat="1" ht="32" customHeight="1" spans="1:15">
      <c r="A36" s="65"/>
      <c r="B36" s="68" t="s">
        <v>63</v>
      </c>
      <c r="C36" s="69"/>
      <c r="D36" s="70"/>
      <c r="E36" s="53"/>
      <c r="F36" s="53"/>
      <c r="G36" s="53"/>
      <c r="H36" s="53"/>
      <c r="I36" s="38"/>
      <c r="J36" s="38"/>
      <c r="K36" s="38"/>
      <c r="L36" s="38"/>
      <c r="M36" s="38"/>
      <c r="N36" s="38"/>
      <c r="O36" s="38"/>
    </row>
    <row r="37" s="1" customFormat="1" ht="32" customHeight="1" spans="1:15">
      <c r="A37" s="65"/>
      <c r="B37" s="68" t="s">
        <v>64</v>
      </c>
      <c r="C37" s="69"/>
      <c r="D37" s="70"/>
      <c r="E37" s="53"/>
      <c r="F37" s="53"/>
      <c r="G37" s="53"/>
      <c r="H37" s="53"/>
      <c r="I37" s="38"/>
      <c r="J37" s="38"/>
      <c r="K37" s="38"/>
      <c r="L37" s="38"/>
      <c r="M37" s="38"/>
      <c r="N37" s="38"/>
      <c r="O37" s="38"/>
    </row>
    <row r="38" s="1" customFormat="1" ht="32" customHeight="1" spans="1:15">
      <c r="A38" s="59" t="s">
        <v>65</v>
      </c>
      <c r="B38" s="68" t="s">
        <v>66</v>
      </c>
      <c r="C38" s="69"/>
      <c r="D38" s="70"/>
      <c r="E38" s="53"/>
      <c r="F38" s="53"/>
      <c r="G38" s="53"/>
      <c r="H38" s="53"/>
      <c r="I38" s="38"/>
      <c r="J38" s="38"/>
      <c r="K38" s="38"/>
      <c r="L38" s="38"/>
      <c r="M38" s="38"/>
      <c r="N38" s="38"/>
      <c r="O38" s="38"/>
    </row>
    <row r="39" s="1" customFormat="1" ht="32" customHeight="1" spans="1:15">
      <c r="A39" s="65"/>
      <c r="B39" s="68" t="s">
        <v>67</v>
      </c>
      <c r="C39" s="69"/>
      <c r="D39" s="70"/>
      <c r="E39" s="53"/>
      <c r="F39" s="53"/>
      <c r="G39" s="53"/>
      <c r="H39" s="53"/>
      <c r="I39" s="38"/>
      <c r="J39" s="38"/>
      <c r="K39" s="38"/>
      <c r="L39" s="38"/>
      <c r="M39" s="38"/>
      <c r="N39" s="38"/>
      <c r="O39" s="38"/>
    </row>
    <row r="40" s="1" customFormat="1" ht="32" customHeight="1" spans="1:15">
      <c r="A40" s="65"/>
      <c r="B40" s="68" t="s">
        <v>68</v>
      </c>
      <c r="C40" s="69" t="s">
        <v>69</v>
      </c>
      <c r="D40" s="70"/>
      <c r="E40" s="53"/>
      <c r="F40" s="53"/>
      <c r="G40" s="53"/>
      <c r="H40" s="53"/>
      <c r="I40" s="38"/>
      <c r="J40" s="38"/>
      <c r="K40" s="38"/>
      <c r="L40" s="38"/>
      <c r="M40" s="38"/>
      <c r="N40" s="38"/>
      <c r="O40" s="38"/>
    </row>
    <row r="41" s="1" customFormat="1" ht="32" customHeight="1" spans="1:15">
      <c r="A41" s="66"/>
      <c r="B41" s="68" t="s">
        <v>70</v>
      </c>
      <c r="C41" s="69"/>
      <c r="D41" s="70"/>
      <c r="E41" s="53"/>
      <c r="F41" s="53"/>
      <c r="G41" s="53"/>
      <c r="H41" s="53"/>
      <c r="I41" s="38"/>
      <c r="J41" s="38"/>
      <c r="K41" s="38"/>
      <c r="L41" s="38"/>
      <c r="M41" s="38"/>
      <c r="N41" s="38"/>
      <c r="O41" s="38"/>
    </row>
    <row r="42" s="1" customFormat="1" ht="51" customHeight="1" spans="1:15">
      <c r="A42" s="50" t="s">
        <v>71</v>
      </c>
      <c r="B42" s="68" t="s">
        <v>72</v>
      </c>
      <c r="C42" s="69"/>
      <c r="D42" s="70"/>
      <c r="E42" s="53"/>
      <c r="F42" s="53"/>
      <c r="G42" s="53"/>
      <c r="H42" s="53"/>
      <c r="I42" s="38"/>
      <c r="J42" s="38"/>
      <c r="K42" s="38"/>
      <c r="L42" s="38"/>
      <c r="M42" s="38"/>
      <c r="N42" s="38"/>
      <c r="O42" s="38"/>
    </row>
    <row r="43" s="1" customFormat="1" ht="32" customHeight="1" spans="1:15">
      <c r="A43" s="59" t="s">
        <v>73</v>
      </c>
      <c r="B43" s="67" t="s">
        <v>74</v>
      </c>
      <c r="C43" s="67"/>
      <c r="D43" s="67"/>
      <c r="E43" s="53"/>
      <c r="F43" s="53"/>
      <c r="G43" s="53"/>
      <c r="H43" s="53"/>
      <c r="I43" s="38"/>
      <c r="J43" s="38"/>
      <c r="K43" s="38"/>
      <c r="L43" s="38"/>
      <c r="M43" s="38"/>
      <c r="N43" s="38"/>
      <c r="O43" s="38"/>
    </row>
    <row r="44" s="1" customFormat="1" ht="32" customHeight="1" spans="1:15">
      <c r="A44" s="65"/>
      <c r="B44" s="67" t="s">
        <v>75</v>
      </c>
      <c r="C44" s="67"/>
      <c r="D44" s="67"/>
      <c r="E44" s="53"/>
      <c r="F44" s="53"/>
      <c r="G44" s="53"/>
      <c r="H44" s="53"/>
      <c r="I44" s="38"/>
      <c r="J44" s="38"/>
      <c r="K44" s="38"/>
      <c r="L44" s="38"/>
      <c r="M44" s="38"/>
      <c r="N44" s="38"/>
      <c r="O44" s="38"/>
    </row>
    <row r="45" s="1" customFormat="1" ht="32" customHeight="1" spans="1:15">
      <c r="A45" s="65"/>
      <c r="B45" s="67" t="s">
        <v>76</v>
      </c>
      <c r="C45" s="67"/>
      <c r="D45" s="67"/>
      <c r="E45" s="53"/>
      <c r="F45" s="53"/>
      <c r="G45" s="53"/>
      <c r="H45" s="53"/>
      <c r="I45" s="38"/>
      <c r="J45" s="38"/>
      <c r="K45" s="38"/>
      <c r="L45" s="38"/>
      <c r="M45" s="38"/>
      <c r="N45" s="38"/>
      <c r="O45" s="38"/>
    </row>
    <row r="46" s="1" customFormat="1" ht="32" customHeight="1" spans="1:15">
      <c r="A46" s="65"/>
      <c r="B46" s="67" t="s">
        <v>77</v>
      </c>
      <c r="C46" s="67"/>
      <c r="D46" s="67"/>
      <c r="E46" s="53"/>
      <c r="F46" s="53"/>
      <c r="G46" s="53"/>
      <c r="H46" s="53"/>
      <c r="I46" s="38"/>
      <c r="J46" s="38"/>
      <c r="K46" s="38"/>
      <c r="L46" s="38"/>
      <c r="M46" s="38"/>
      <c r="N46" s="38"/>
      <c r="O46" s="38"/>
    </row>
    <row r="47" s="1" customFormat="1" ht="32" customHeight="1" spans="1:15">
      <c r="A47" s="65"/>
      <c r="B47" s="67" t="s">
        <v>78</v>
      </c>
      <c r="C47" s="67"/>
      <c r="D47" s="67"/>
      <c r="E47" s="53"/>
      <c r="F47" s="53"/>
      <c r="G47" s="53"/>
      <c r="H47" s="53"/>
      <c r="I47" s="38"/>
      <c r="J47" s="38"/>
      <c r="K47" s="38"/>
      <c r="L47" s="38"/>
      <c r="M47" s="38"/>
      <c r="N47" s="38"/>
      <c r="O47" s="38"/>
    </row>
    <row r="48" s="1" customFormat="1" ht="32" customHeight="1" spans="1:15">
      <c r="A48" s="65"/>
      <c r="B48" s="67" t="s">
        <v>79</v>
      </c>
      <c r="C48" s="67"/>
      <c r="D48" s="67"/>
      <c r="E48" s="53"/>
      <c r="F48" s="53"/>
      <c r="G48" s="53"/>
      <c r="H48" s="53"/>
      <c r="I48" s="38"/>
      <c r="J48" s="38"/>
      <c r="K48" s="38"/>
      <c r="L48" s="38"/>
      <c r="M48" s="38"/>
      <c r="N48" s="38"/>
      <c r="O48" s="38"/>
    </row>
    <row r="49" s="1" customFormat="1" ht="32" customHeight="1" spans="1:15">
      <c r="A49" s="66"/>
      <c r="B49" s="67" t="s">
        <v>80</v>
      </c>
      <c r="C49" s="67"/>
      <c r="D49" s="67"/>
      <c r="E49" s="53"/>
      <c r="F49" s="53"/>
      <c r="G49" s="53"/>
      <c r="H49" s="53"/>
      <c r="I49" s="38"/>
      <c r="J49" s="38"/>
      <c r="K49" s="38"/>
      <c r="L49" s="38"/>
      <c r="M49" s="38"/>
      <c r="N49" s="38"/>
      <c r="O49" s="38"/>
    </row>
    <row r="50" s="1" customFormat="1" ht="32" customHeight="1" spans="1:15">
      <c r="A50" s="59" t="s">
        <v>81</v>
      </c>
      <c r="B50" s="68" t="s">
        <v>82</v>
      </c>
      <c r="C50" s="69"/>
      <c r="D50" s="70"/>
      <c r="E50" s="53"/>
      <c r="F50" s="53"/>
      <c r="G50" s="53"/>
      <c r="H50" s="53"/>
      <c r="I50" s="38"/>
      <c r="J50" s="38"/>
      <c r="K50" s="38"/>
      <c r="L50" s="38"/>
      <c r="M50" s="38"/>
      <c r="N50" s="38"/>
      <c r="O50" s="38"/>
    </row>
    <row r="51" s="1" customFormat="1" ht="32" customHeight="1" spans="1:15">
      <c r="A51" s="66"/>
      <c r="B51" s="68" t="s">
        <v>83</v>
      </c>
      <c r="C51" s="69"/>
      <c r="D51" s="70"/>
      <c r="E51" s="53"/>
      <c r="F51" s="53"/>
      <c r="G51" s="53"/>
      <c r="H51" s="53"/>
      <c r="I51" s="38"/>
      <c r="J51" s="38"/>
      <c r="K51" s="38"/>
      <c r="L51" s="38"/>
      <c r="M51" s="38"/>
      <c r="N51" s="38"/>
      <c r="O51" s="38"/>
    </row>
    <row r="52" s="1" customFormat="1" ht="48" customHeight="1" spans="1:15">
      <c r="A52" s="50" t="s">
        <v>84</v>
      </c>
      <c r="B52" s="68" t="s">
        <v>85</v>
      </c>
      <c r="C52" s="69"/>
      <c r="D52" s="70"/>
      <c r="E52" s="53"/>
      <c r="F52" s="53"/>
      <c r="G52" s="53"/>
      <c r="H52" s="53"/>
      <c r="I52" s="38"/>
      <c r="J52" s="38"/>
      <c r="K52" s="38"/>
      <c r="L52" s="38"/>
      <c r="M52" s="38"/>
      <c r="N52" s="38"/>
      <c r="O52" s="38"/>
    </row>
    <row r="53" s="1" customFormat="1" ht="22" customHeight="1" spans="1:15">
      <c r="A53" s="43" t="s">
        <v>86</v>
      </c>
      <c r="B53" s="44" t="s">
        <v>87</v>
      </c>
      <c r="C53" s="44"/>
      <c r="D53" s="45"/>
      <c r="E53" s="53"/>
      <c r="F53" s="53"/>
      <c r="G53" s="53"/>
      <c r="H53" s="53"/>
      <c r="I53" s="38"/>
      <c r="J53" s="38"/>
      <c r="K53" s="38"/>
      <c r="L53" s="38"/>
      <c r="M53" s="38"/>
      <c r="N53" s="38"/>
      <c r="O53" s="38"/>
    </row>
    <row r="54" s="1" customFormat="1" ht="20" customHeight="1" spans="1:15">
      <c r="A54" s="59" t="s">
        <v>88</v>
      </c>
      <c r="B54" s="63" t="s">
        <v>89</v>
      </c>
      <c r="C54" s="71">
        <v>15</v>
      </c>
      <c r="D54" s="72"/>
      <c r="E54" s="53"/>
      <c r="F54" s="53"/>
      <c r="G54" s="53"/>
      <c r="H54" s="53"/>
      <c r="I54" s="38"/>
      <c r="J54" s="38"/>
      <c r="K54" s="38"/>
      <c r="L54" s="38"/>
      <c r="M54" s="38"/>
      <c r="N54" s="38"/>
      <c r="O54" s="38"/>
    </row>
    <row r="55" s="1" customFormat="1" ht="20" customHeight="1" spans="1:15">
      <c r="A55" s="65"/>
      <c r="B55" s="63" t="s">
        <v>90</v>
      </c>
      <c r="C55" s="71">
        <v>10</v>
      </c>
      <c r="D55" s="72"/>
      <c r="E55" s="53"/>
      <c r="F55" s="53"/>
      <c r="G55" s="53"/>
      <c r="H55" s="53"/>
      <c r="I55" s="38"/>
      <c r="J55" s="38"/>
      <c r="K55" s="38"/>
      <c r="L55" s="38"/>
      <c r="M55" s="38"/>
      <c r="N55" s="38"/>
      <c r="O55" s="38"/>
    </row>
    <row r="56" s="1" customFormat="1" ht="20" customHeight="1" spans="1:15">
      <c r="A56" s="65"/>
      <c r="B56" s="63" t="s">
        <v>91</v>
      </c>
      <c r="C56" s="71">
        <v>30</v>
      </c>
      <c r="D56" s="72"/>
      <c r="E56" s="53"/>
      <c r="F56" s="53"/>
      <c r="G56" s="53"/>
      <c r="H56" s="53"/>
      <c r="I56" s="38"/>
      <c r="J56" s="38"/>
      <c r="K56" s="38"/>
      <c r="L56" s="38"/>
      <c r="M56" s="38"/>
      <c r="N56" s="38"/>
      <c r="O56" s="38"/>
    </row>
    <row r="57" s="1" customFormat="1" ht="20" customHeight="1" spans="1:15">
      <c r="A57" s="65"/>
      <c r="B57" s="63" t="s">
        <v>92</v>
      </c>
      <c r="C57" s="71">
        <v>15</v>
      </c>
      <c r="D57" s="72"/>
      <c r="E57" s="53"/>
      <c r="F57" s="53"/>
      <c r="G57" s="53"/>
      <c r="H57" s="53"/>
      <c r="I57" s="38"/>
      <c r="J57" s="38"/>
      <c r="K57" s="38"/>
      <c r="L57" s="38"/>
      <c r="M57" s="38"/>
      <c r="N57" s="38"/>
      <c r="O57" s="38"/>
    </row>
    <row r="58" s="1" customFormat="1" ht="20" customHeight="1" spans="1:15">
      <c r="A58" s="65"/>
      <c r="B58" s="63" t="s">
        <v>93</v>
      </c>
      <c r="C58" s="71">
        <v>5</v>
      </c>
      <c r="D58" s="72"/>
      <c r="E58" s="53"/>
      <c r="F58" s="53"/>
      <c r="G58" s="53"/>
      <c r="H58" s="53"/>
      <c r="I58" s="38"/>
      <c r="J58" s="38"/>
      <c r="K58" s="38"/>
      <c r="L58" s="38"/>
      <c r="M58" s="38"/>
      <c r="N58" s="38"/>
      <c r="O58" s="38"/>
    </row>
    <row r="59" s="1" customFormat="1" ht="20" customHeight="1" spans="1:15">
      <c r="A59" s="65"/>
      <c r="B59" s="63" t="s">
        <v>94</v>
      </c>
      <c r="C59" s="73"/>
      <c r="D59" s="74"/>
      <c r="E59" s="53"/>
      <c r="F59" s="53"/>
      <c r="G59" s="53"/>
      <c r="H59" s="53"/>
      <c r="I59" s="38"/>
      <c r="J59" s="38"/>
      <c r="K59" s="38"/>
      <c r="L59" s="38"/>
      <c r="M59" s="38"/>
      <c r="N59" s="38"/>
      <c r="O59" s="38"/>
    </row>
    <row r="60" s="1" customFormat="1" ht="20" customHeight="1" spans="1:15">
      <c r="A60" s="65"/>
      <c r="B60" s="75" t="s">
        <v>95</v>
      </c>
      <c r="C60" s="76">
        <f>SUM(D54:D59)</f>
        <v>0</v>
      </c>
      <c r="D60" s="77"/>
      <c r="E60" s="53"/>
      <c r="F60" s="53"/>
      <c r="G60" s="53"/>
      <c r="H60" s="53"/>
      <c r="I60" s="38"/>
      <c r="J60" s="38"/>
      <c r="K60" s="38"/>
      <c r="L60" s="38"/>
      <c r="M60" s="38"/>
      <c r="N60" s="38"/>
      <c r="O60" s="38"/>
    </row>
    <row r="61" s="1" customFormat="1" ht="20" customHeight="1" spans="1:15">
      <c r="A61" s="78"/>
      <c r="B61" s="79" t="s">
        <v>96</v>
      </c>
      <c r="C61" s="80" t="s">
        <v>97</v>
      </c>
      <c r="D61" s="81"/>
      <c r="E61" s="53"/>
      <c r="F61" s="53"/>
      <c r="G61" s="53"/>
      <c r="H61" s="53"/>
      <c r="I61" s="38"/>
      <c r="J61" s="38"/>
      <c r="K61" s="38"/>
      <c r="L61" s="38"/>
      <c r="M61" s="38"/>
      <c r="N61" s="38"/>
      <c r="O61" s="38"/>
    </row>
    <row r="62" s="1" customFormat="1" ht="26" customHeight="1" spans="1:15">
      <c r="A62" s="78"/>
      <c r="B62" s="82" t="s">
        <v>98</v>
      </c>
      <c r="C62" s="74" t="s">
        <v>98</v>
      </c>
      <c r="D62" s="83">
        <f>C54/20</f>
        <v>0.75</v>
      </c>
      <c r="E62" s="53"/>
      <c r="F62" s="53"/>
      <c r="G62" s="53"/>
      <c r="H62" s="53"/>
      <c r="I62" s="38"/>
      <c r="J62" s="38"/>
      <c r="K62" s="38"/>
      <c r="L62" s="38"/>
      <c r="M62" s="38"/>
      <c r="N62" s="38"/>
      <c r="O62" s="38"/>
    </row>
    <row r="63" s="1" customFormat="1" ht="26" customHeight="1" spans="1:15">
      <c r="A63" s="78"/>
      <c r="B63" s="82" t="s">
        <v>99</v>
      </c>
      <c r="C63" s="74" t="s">
        <v>99</v>
      </c>
      <c r="D63" s="83">
        <f>C55/15</f>
        <v>0.666666666666667</v>
      </c>
      <c r="E63" s="53"/>
      <c r="F63" s="53"/>
      <c r="G63" s="53"/>
      <c r="H63" s="53"/>
      <c r="I63" s="38"/>
      <c r="J63" s="38"/>
      <c r="K63" s="38"/>
      <c r="L63" s="38"/>
      <c r="M63" s="38"/>
      <c r="N63" s="38"/>
      <c r="O63" s="38"/>
    </row>
    <row r="64" s="1" customFormat="1" ht="26" customHeight="1" spans="1:15">
      <c r="A64" s="78"/>
      <c r="B64" s="82" t="s">
        <v>100</v>
      </c>
      <c r="C64" s="74" t="s">
        <v>100</v>
      </c>
      <c r="D64" s="83">
        <f>C56/40</f>
        <v>0.75</v>
      </c>
      <c r="E64" s="53"/>
      <c r="F64" s="53"/>
      <c r="G64" s="53"/>
      <c r="H64" s="53"/>
      <c r="I64" s="38"/>
      <c r="J64" s="38"/>
      <c r="K64" s="38"/>
      <c r="L64" s="38"/>
      <c r="M64" s="38"/>
      <c r="N64" s="38"/>
      <c r="O64" s="38"/>
    </row>
    <row r="65" s="1" customFormat="1" ht="26" customHeight="1" spans="1:15">
      <c r="A65" s="78"/>
      <c r="B65" s="82" t="s">
        <v>101</v>
      </c>
      <c r="C65" s="74" t="s">
        <v>101</v>
      </c>
      <c r="D65" s="83">
        <f>C57/15</f>
        <v>1</v>
      </c>
      <c r="E65" s="53"/>
      <c r="F65" s="53"/>
      <c r="G65" s="53"/>
      <c r="H65" s="53"/>
      <c r="I65" s="38"/>
      <c r="J65" s="38"/>
      <c r="K65" s="38"/>
      <c r="L65" s="38"/>
      <c r="M65" s="38"/>
      <c r="N65" s="38"/>
      <c r="O65" s="38"/>
    </row>
    <row r="66" s="1" customFormat="1" ht="26" customHeight="1" spans="1:15">
      <c r="A66" s="78"/>
      <c r="B66" s="84" t="s">
        <v>102</v>
      </c>
      <c r="C66" s="74" t="s">
        <v>102</v>
      </c>
      <c r="D66" s="83">
        <f>C58/10</f>
        <v>0.5</v>
      </c>
      <c r="E66" s="53"/>
      <c r="F66" s="53"/>
      <c r="G66" s="53"/>
      <c r="H66" s="53"/>
      <c r="I66" s="38"/>
      <c r="J66" s="38"/>
      <c r="K66" s="38"/>
      <c r="L66" s="38"/>
      <c r="M66" s="38"/>
      <c r="N66" s="38"/>
      <c r="O66" s="38"/>
    </row>
    <row r="67" s="1" customFormat="1" ht="41" customHeight="1" spans="1:15">
      <c r="A67" s="50" t="s">
        <v>103</v>
      </c>
      <c r="B67" s="85" t="s">
        <v>104</v>
      </c>
      <c r="C67" s="69"/>
      <c r="D67" s="70"/>
      <c r="E67" s="53"/>
      <c r="F67" s="53"/>
      <c r="G67" s="53"/>
      <c r="H67" s="53"/>
      <c r="I67" s="38"/>
      <c r="J67" s="38"/>
      <c r="K67" s="38"/>
      <c r="L67" s="38"/>
      <c r="M67" s="38"/>
      <c r="N67" s="38"/>
      <c r="O67" s="38"/>
    </row>
    <row r="68" s="1" customFormat="1" ht="22" customHeight="1" spans="1:15">
      <c r="A68" s="43" t="s">
        <v>105</v>
      </c>
      <c r="B68" s="44"/>
      <c r="C68" s="44"/>
      <c r="D68" s="45"/>
      <c r="E68" s="53"/>
      <c r="F68" s="53"/>
      <c r="G68" s="53"/>
      <c r="H68" s="53"/>
      <c r="I68" s="38"/>
      <c r="J68" s="38"/>
      <c r="K68" s="38"/>
      <c r="L68" s="38"/>
      <c r="M68" s="38"/>
      <c r="N68" s="38"/>
      <c r="O68" s="38"/>
    </row>
    <row r="69" s="1" customFormat="1" ht="57" customHeight="1" spans="1:15">
      <c r="A69" s="50" t="s">
        <v>106</v>
      </c>
      <c r="B69" s="68" t="s">
        <v>107</v>
      </c>
      <c r="C69" s="69"/>
      <c r="D69" s="70"/>
      <c r="E69" s="53"/>
      <c r="F69" s="53"/>
      <c r="G69" s="53"/>
      <c r="H69" s="53"/>
      <c r="I69" s="38"/>
      <c r="J69" s="38"/>
      <c r="K69" s="38"/>
      <c r="L69" s="38"/>
      <c r="M69" s="38"/>
      <c r="N69" s="38"/>
      <c r="O69" s="38"/>
    </row>
    <row r="70" s="1" customFormat="1" ht="57" customHeight="1" spans="1:15">
      <c r="A70" s="50" t="s">
        <v>108</v>
      </c>
      <c r="B70" s="68" t="s">
        <v>109</v>
      </c>
      <c r="C70" s="69"/>
      <c r="D70" s="70"/>
      <c r="E70" s="53"/>
      <c r="F70" s="53"/>
      <c r="G70" s="53"/>
      <c r="H70" s="53"/>
      <c r="I70" s="38"/>
      <c r="J70" s="38"/>
      <c r="K70" s="38"/>
      <c r="L70" s="38"/>
      <c r="M70" s="38"/>
      <c r="N70" s="38"/>
      <c r="O70" s="38"/>
    </row>
    <row r="71" s="1" customFormat="1" ht="22" customHeight="1" spans="1:15">
      <c r="A71" s="43" t="s">
        <v>110</v>
      </c>
      <c r="B71" s="44"/>
      <c r="C71" s="44"/>
      <c r="D71" s="45"/>
      <c r="E71" s="53"/>
      <c r="F71" s="53"/>
      <c r="G71" s="53"/>
      <c r="H71" s="53"/>
      <c r="I71" s="38"/>
      <c r="J71" s="38"/>
      <c r="K71" s="38"/>
      <c r="L71" s="38"/>
      <c r="M71" s="38"/>
      <c r="N71" s="38"/>
      <c r="O71" s="38"/>
    </row>
    <row r="72" s="1" customFormat="1" ht="57" customHeight="1" spans="1:15">
      <c r="A72" s="50" t="s">
        <v>111</v>
      </c>
      <c r="B72" s="68" t="s">
        <v>112</v>
      </c>
      <c r="C72" s="69"/>
      <c r="D72" s="70"/>
      <c r="E72" s="53"/>
      <c r="F72" s="53"/>
      <c r="G72" s="53"/>
      <c r="H72" s="53"/>
      <c r="I72" s="38"/>
      <c r="J72" s="38"/>
      <c r="K72" s="38"/>
      <c r="L72" s="38"/>
      <c r="M72" s="38"/>
      <c r="N72" s="38"/>
      <c r="O72" s="38"/>
    </row>
    <row r="73" s="1" customFormat="1" ht="57" customHeight="1" spans="1:15">
      <c r="A73" s="50" t="s">
        <v>113</v>
      </c>
      <c r="B73" s="68" t="s">
        <v>114</v>
      </c>
      <c r="C73" s="69"/>
      <c r="D73" s="70"/>
      <c r="E73" s="53"/>
      <c r="F73" s="53"/>
      <c r="G73" s="53"/>
      <c r="H73" s="53"/>
      <c r="I73" s="38"/>
      <c r="J73" s="38"/>
      <c r="K73" s="38"/>
      <c r="L73" s="38"/>
      <c r="M73" s="38"/>
      <c r="N73" s="38"/>
      <c r="O73" s="38"/>
    </row>
    <row r="74" s="1" customFormat="1" spans="1:15">
      <c r="A74" s="53"/>
      <c r="B74" s="53"/>
      <c r="C74" s="53"/>
      <c r="D74" s="53"/>
      <c r="E74" s="53"/>
      <c r="F74" s="53"/>
      <c r="G74" s="53"/>
      <c r="H74" s="53"/>
      <c r="I74" s="38"/>
      <c r="J74" s="38"/>
      <c r="K74" s="38"/>
      <c r="L74" s="38"/>
      <c r="M74" s="38"/>
      <c r="N74" s="38"/>
      <c r="O74" s="38"/>
    </row>
    <row r="75" s="1" customFormat="1" spans="1:15">
      <c r="A75" s="53"/>
      <c r="B75" s="53"/>
      <c r="C75" s="53"/>
      <c r="D75" s="53"/>
      <c r="E75" s="38"/>
      <c r="F75" s="38"/>
      <c r="G75" s="38"/>
      <c r="H75" s="38"/>
      <c r="I75" s="38"/>
      <c r="J75" s="38"/>
      <c r="K75" s="38"/>
      <c r="L75" s="38"/>
      <c r="M75" s="38"/>
      <c r="N75" s="38"/>
      <c r="O75" s="38"/>
    </row>
    <row r="76" s="1" customFormat="1" spans="1:15">
      <c r="A76" s="53"/>
      <c r="B76" s="53"/>
      <c r="C76" s="53"/>
      <c r="D76" s="53"/>
      <c r="E76" s="38"/>
      <c r="F76" s="38"/>
      <c r="G76" s="38"/>
      <c r="H76" s="38"/>
      <c r="I76" s="38"/>
      <c r="J76" s="38"/>
      <c r="K76" s="38"/>
      <c r="L76" s="38"/>
      <c r="M76" s="38"/>
      <c r="N76" s="38"/>
      <c r="O76" s="38"/>
    </row>
    <row r="77" s="1" customFormat="1" spans="1:15">
      <c r="A77" s="53"/>
      <c r="B77" s="53"/>
      <c r="C77" s="53"/>
      <c r="D77" s="53"/>
      <c r="E77" s="38"/>
      <c r="F77" s="38"/>
      <c r="G77" s="38"/>
      <c r="H77" s="38"/>
      <c r="I77" s="38"/>
      <c r="J77" s="38"/>
      <c r="K77" s="38"/>
      <c r="L77" s="38"/>
      <c r="M77" s="38"/>
      <c r="N77" s="38"/>
      <c r="O77" s="38"/>
    </row>
    <row r="78" s="1" customFormat="1" spans="1:15">
      <c r="A78" s="53"/>
      <c r="B78" s="53"/>
      <c r="C78" s="53"/>
      <c r="D78" s="53"/>
      <c r="E78" s="38"/>
      <c r="F78" s="38"/>
      <c r="G78" s="38"/>
      <c r="H78" s="38"/>
      <c r="I78" s="38"/>
      <c r="J78" s="38"/>
      <c r="K78" s="38"/>
      <c r="L78" s="38"/>
      <c r="M78" s="38"/>
      <c r="N78" s="38"/>
      <c r="O78" s="38"/>
    </row>
    <row r="79" s="1" customFormat="1" spans="1:15">
      <c r="A79" s="38"/>
      <c r="B79" s="38"/>
      <c r="C79" s="38"/>
      <c r="D79" s="38"/>
      <c r="E79" s="38"/>
      <c r="F79" s="38"/>
      <c r="G79" s="38"/>
      <c r="H79" s="38"/>
      <c r="I79" s="38"/>
      <c r="J79" s="38"/>
      <c r="K79" s="38"/>
      <c r="L79" s="38"/>
      <c r="M79" s="38"/>
      <c r="N79" s="38"/>
      <c r="O79" s="38"/>
    </row>
    <row r="80" s="1" customFormat="1" spans="1:15">
      <c r="A80" s="38"/>
      <c r="B80" s="38"/>
      <c r="C80" s="38"/>
      <c r="D80" s="38"/>
      <c r="E80" s="38"/>
      <c r="F80" s="38"/>
      <c r="G80" s="38"/>
      <c r="H80" s="38"/>
      <c r="I80" s="38"/>
      <c r="J80" s="38"/>
      <c r="K80" s="38"/>
      <c r="L80" s="38"/>
      <c r="M80" s="38"/>
      <c r="N80" s="38"/>
      <c r="O80" s="38"/>
    </row>
    <row r="81" spans="1:4">
      <c r="A81" s="38"/>
      <c r="B81" s="38"/>
      <c r="C81" s="38"/>
      <c r="D81" s="38"/>
    </row>
    <row r="82" spans="1:4">
      <c r="A82" s="38"/>
      <c r="B82" s="38"/>
      <c r="C82" s="38"/>
      <c r="D82" s="38"/>
    </row>
    <row r="83" spans="1:4">
      <c r="A83" s="38"/>
      <c r="B83" s="38"/>
      <c r="C83" s="38"/>
      <c r="D83" s="38"/>
    </row>
    <row r="84" spans="1:4">
      <c r="A84" s="38"/>
      <c r="B84" s="38"/>
      <c r="C84" s="38"/>
      <c r="D84" s="38"/>
    </row>
    <row r="85" spans="1:4">
      <c r="A85" s="53"/>
      <c r="B85" s="53"/>
      <c r="C85" s="53"/>
      <c r="D85" s="53"/>
    </row>
    <row r="86" spans="1:4">
      <c r="A86" s="53"/>
      <c r="B86" s="53"/>
      <c r="C86" s="53"/>
      <c r="D86" s="53"/>
    </row>
    <row r="87" spans="1:4">
      <c r="A87" s="53"/>
      <c r="B87" s="53"/>
      <c r="C87" s="53"/>
      <c r="D87" s="53"/>
    </row>
    <row r="88" spans="1:4">
      <c r="A88" s="53"/>
      <c r="B88" s="53"/>
      <c r="C88" s="53"/>
      <c r="D88" s="53"/>
    </row>
    <row r="89" spans="1:4">
      <c r="A89" s="53"/>
      <c r="B89" s="53"/>
      <c r="C89" s="53"/>
      <c r="D89" s="53"/>
    </row>
    <row r="90" spans="1:4">
      <c r="A90" s="38"/>
      <c r="B90" s="38"/>
      <c r="C90" s="38"/>
      <c r="D90" s="38"/>
    </row>
    <row r="91" spans="1:4">
      <c r="A91" s="38"/>
      <c r="B91" s="38"/>
      <c r="C91" s="38"/>
      <c r="D91" s="38"/>
    </row>
    <row r="92" spans="1:4">
      <c r="A92" s="38"/>
      <c r="B92" s="38"/>
      <c r="C92" s="38"/>
      <c r="D92" s="38"/>
    </row>
    <row r="93" spans="1:4">
      <c r="A93" s="38"/>
      <c r="B93" s="38"/>
      <c r="C93" s="38"/>
      <c r="D93" s="38"/>
    </row>
    <row r="94" spans="1:4">
      <c r="A94" s="38"/>
      <c r="B94" s="38"/>
      <c r="C94" s="38"/>
      <c r="D94" s="38"/>
    </row>
    <row r="95" spans="1:4">
      <c r="A95" s="38"/>
      <c r="B95" s="38"/>
      <c r="C95" s="38"/>
      <c r="D95" s="38"/>
    </row>
  </sheetData>
  <mergeCells count="67">
    <mergeCell ref="A1:D1"/>
    <mergeCell ref="A2:D2"/>
    <mergeCell ref="A3:D3"/>
    <mergeCell ref="A9:D9"/>
    <mergeCell ref="A12:D12"/>
    <mergeCell ref="B13:D13"/>
    <mergeCell ref="B14:D14"/>
    <mergeCell ref="B15:D15"/>
    <mergeCell ref="A16:D16"/>
    <mergeCell ref="B19:D19"/>
    <mergeCell ref="B20:D20"/>
    <mergeCell ref="B21:D21"/>
    <mergeCell ref="B22:D22"/>
    <mergeCell ref="B23:D23"/>
    <mergeCell ref="B24:D24"/>
    <mergeCell ref="B25:D25"/>
    <mergeCell ref="B26:D26"/>
    <mergeCell ref="B27:D27"/>
    <mergeCell ref="A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A53:D53"/>
    <mergeCell ref="C54:D54"/>
    <mergeCell ref="C55:D55"/>
    <mergeCell ref="C56:D56"/>
    <mergeCell ref="C57:D57"/>
    <mergeCell ref="C58:D58"/>
    <mergeCell ref="C59:D59"/>
    <mergeCell ref="C60:D60"/>
    <mergeCell ref="C61:D61"/>
    <mergeCell ref="B67:D67"/>
    <mergeCell ref="A68:D68"/>
    <mergeCell ref="B69:D69"/>
    <mergeCell ref="B70:D70"/>
    <mergeCell ref="A71:D71"/>
    <mergeCell ref="B72:D72"/>
    <mergeCell ref="B73:D73"/>
    <mergeCell ref="A13:A14"/>
    <mergeCell ref="A19:A21"/>
    <mergeCell ref="A29:A33"/>
    <mergeCell ref="A34:A37"/>
    <mergeCell ref="A38:A41"/>
    <mergeCell ref="A43:A49"/>
    <mergeCell ref="A50:A51"/>
    <mergeCell ref="A54:A66"/>
  </mergeCells>
  <conditionalFormatting sqref="D62:D66">
    <cfRule type="dataBar" priority="1">
      <dataBar>
        <cfvo type="num" val="0"/>
        <cfvo type="num" val="1"/>
        <color rgb="FF6B0301"/>
      </dataBar>
      <extLst>
        <ext xmlns:x14="http://schemas.microsoft.com/office/spreadsheetml/2009/9/main" uri="{B025F937-C7B1-47D3-B67F-A62EFF666E3E}">
          <x14:id>{9bb6af92-e3b5-42eb-8032-e4df068dfdc0}</x14:id>
        </ext>
      </extLst>
    </cfRule>
  </conditionalFormatting>
  <conditionalFormatting sqref="C62:D66">
    <cfRule type="dataBar" priority="2">
      <dataBar>
        <cfvo type="percent" val="0"/>
        <cfvo type="percent" val="100"/>
        <color rgb="FF6B0301"/>
      </dataBar>
      <extLst>
        <ext xmlns:x14="http://schemas.microsoft.com/office/spreadsheetml/2009/9/main" uri="{B025F937-C7B1-47D3-B67F-A62EFF666E3E}">
          <x14:id>{66a0f319-9f86-4015-acc2-25b72370ecfd}</x14:id>
        </ext>
      </extLst>
    </cfRule>
  </conditionalFormatting>
  <dataValidations count="3">
    <dataValidation allowBlank="1" showInputMessage="1" showErrorMessage="1" sqref="I4 H5 H6 I7 I8 I9 I10 I11 I12 I13 I14 I15 I16 I17 I18 I19 I20 I21 I22 I23 I24 I25 I26 I27 I28 I31 I32 I33 I34 I35 I36 I37 I38 I39 I53 I54 I55 I56 I59 I60 I61 I62 I63 I64 I65 I66 I67 I72 I29:I30 I57:I58 I68:I69"/>
    <dataValidation type="list" allowBlank="1" showInputMessage="1" showErrorMessage="1" sqref="B7">
      <formula1>"战新-新一代信息技术,战新-新能源,战新-新材料,战新-高端装备,战新-新能源汽车,战新-绿色环保,战新-民用航空,战新-船舶与海洋工程装备,未来-元宇宙,未来-脑机接口,未来-量子信息,未来-人形机器人,未来-生成式人工智能,未来-生物制造,未来-未来显示,未来-未来网络,未来-新型储能,其他（请填写）"</formula1>
    </dataValidation>
    <dataValidation type="list" allowBlank="1" showInputMessage="1" showErrorMessage="1" sqref="D40 D41 D42 D43 D47 D48 D49 D50 D51 D52 D72 D73 D45:D46 D69:D70">
      <formula1>"是,否"</formula1>
    </dataValidation>
  </dataValidations>
  <pageMargins left="0.751388888888889" right="0.751388888888889" top="1" bottom="1" header="0.5" footer="0.5"/>
  <pageSetup paperSize="9" scale="80" orientation="portrait" horizontalDpi="600"/>
  <headerFooter>
    <oddFooter>&amp;C第 &amp;P 页，共 &amp;N 页</oddFooter>
  </headerFooter>
  <drawing r:id="rId1"/>
  <extLst>
    <ext xmlns:x14="http://schemas.microsoft.com/office/spreadsheetml/2009/9/main" uri="{78C0D931-6437-407d-A8EE-F0AAD7539E65}">
      <x14:conditionalFormattings>
        <x14:conditionalFormatting xmlns:xm="http://schemas.microsoft.com/office/excel/2006/main">
          <x14:cfRule type="dataBar" id="{9bb6af92-e3b5-42eb-8032-e4df068dfdc0}">
            <x14:dataBar minLength="0" maxLength="100">
              <x14:cfvo type="num">
                <xm:f>0</xm:f>
              </x14:cfvo>
              <x14:cfvo type="num">
                <xm:f>1</xm:f>
              </x14:cfvo>
              <x14:negativeFillColor rgb="FFFF0000"/>
              <x14:axisColor rgb="FF000000"/>
            </x14:dataBar>
          </x14:cfRule>
          <xm:sqref>D62:D66</xm:sqref>
        </x14:conditionalFormatting>
        <x14:conditionalFormatting xmlns:xm="http://schemas.microsoft.com/office/excel/2006/main">
          <x14:cfRule type="dataBar" id="{66a0f319-9f86-4015-acc2-25b72370ecfd}">
            <x14:dataBar minLength="0" maxLength="100">
              <x14:cfvo type="percent">
                <xm:f>0</xm:f>
              </x14:cfvo>
              <x14:cfvo type="percent">
                <xm:f>100</xm:f>
              </x14:cfvo>
              <x14:negativeFillColor rgb="FFFF0000"/>
              <x14:axisColor rgb="FF000000"/>
            </x14:dataBar>
          </x14:cfRule>
          <xm:sqref>C62:D66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28"/>
  <sheetViews>
    <sheetView workbookViewId="0">
      <selection activeCell="E23" sqref="E23"/>
    </sheetView>
  </sheetViews>
  <sheetFormatPr defaultColWidth="9" defaultRowHeight="14.25" outlineLevelCol="6"/>
  <cols>
    <col min="1" max="1" width="12.1" style="3" customWidth="1"/>
    <col min="2" max="2" width="25.75" style="1" customWidth="1"/>
    <col min="3" max="3" width="19" style="1" customWidth="1"/>
    <col min="4" max="4" width="25.75" style="1" customWidth="1"/>
    <col min="5" max="5" width="19" style="1" customWidth="1"/>
    <col min="6" max="6" width="25.75" style="1" customWidth="1"/>
    <col min="7" max="7" width="19" style="1" customWidth="1"/>
    <col min="8" max="9" width="8.8" style="1" hidden="1" customWidth="1"/>
  </cols>
  <sheetData>
    <row r="1" s="1" customFormat="1" ht="32" customHeight="1" spans="1:7">
      <c r="A1" s="4" t="s">
        <v>115</v>
      </c>
      <c r="B1" s="4"/>
      <c r="C1" s="4"/>
      <c r="D1" s="4"/>
      <c r="E1" s="4"/>
      <c r="F1" s="4"/>
      <c r="G1" s="4"/>
    </row>
    <row r="2" s="1" customFormat="1" ht="23.25" spans="1:7">
      <c r="A2" s="5" t="s">
        <v>116</v>
      </c>
      <c r="B2" s="5"/>
      <c r="C2" s="5"/>
      <c r="D2" s="5"/>
      <c r="E2" s="5"/>
      <c r="F2" s="6" t="s">
        <v>117</v>
      </c>
      <c r="G2" s="7" t="s">
        <v>118</v>
      </c>
    </row>
    <row r="3" s="1" customFormat="1" ht="34" customHeight="1" spans="1:7">
      <c r="A3" s="8" t="s">
        <v>119</v>
      </c>
      <c r="B3" s="9" t="s">
        <v>120</v>
      </c>
      <c r="C3" s="10"/>
      <c r="D3" s="11" t="s">
        <v>121</v>
      </c>
      <c r="E3" s="12" t="s">
        <v>122</v>
      </c>
      <c r="F3" s="11" t="s">
        <v>123</v>
      </c>
      <c r="G3" s="13" t="s">
        <v>124</v>
      </c>
    </row>
    <row r="4" s="1" customFormat="1" ht="34" customHeight="1" spans="1:7">
      <c r="A4" s="14" t="s">
        <v>125</v>
      </c>
      <c r="B4" s="15" t="s">
        <v>126</v>
      </c>
      <c r="C4" s="15"/>
      <c r="D4" s="15"/>
      <c r="E4" s="15"/>
      <c r="F4" s="15"/>
      <c r="G4" s="16"/>
    </row>
    <row r="5" s="1" customFormat="1" ht="34" customHeight="1" spans="1:7">
      <c r="A5" s="17"/>
      <c r="B5" s="18" t="s">
        <v>127</v>
      </c>
      <c r="C5" s="19"/>
      <c r="D5" s="18" t="s">
        <v>128</v>
      </c>
      <c r="E5" s="19"/>
      <c r="F5" s="18" t="s">
        <v>129</v>
      </c>
      <c r="G5" s="20" t="e">
        <f>E5/C5</f>
        <v>#DIV/0!</v>
      </c>
    </row>
    <row r="6" s="1" customFormat="1" ht="34" customHeight="1" spans="1:7">
      <c r="A6" s="17"/>
      <c r="B6" s="18" t="s">
        <v>130</v>
      </c>
      <c r="C6" s="19"/>
      <c r="D6" s="18" t="s">
        <v>131</v>
      </c>
      <c r="E6" s="19"/>
      <c r="F6" s="18" t="s">
        <v>132</v>
      </c>
      <c r="G6" s="21"/>
    </row>
    <row r="7" s="1" customFormat="1" ht="34" customHeight="1" spans="1:7">
      <c r="A7" s="17"/>
      <c r="B7" s="22" t="s">
        <v>133</v>
      </c>
      <c r="C7" s="22"/>
      <c r="D7" s="22"/>
      <c r="E7" s="22"/>
      <c r="F7" s="22"/>
      <c r="G7" s="23"/>
    </row>
    <row r="8" s="1" customFormat="1" ht="34" customHeight="1" spans="1:7">
      <c r="A8" s="17"/>
      <c r="B8" s="24" t="s">
        <v>134</v>
      </c>
      <c r="C8" s="25"/>
      <c r="D8" s="24" t="s">
        <v>135</v>
      </c>
      <c r="E8" s="25"/>
      <c r="F8" s="24" t="s">
        <v>136</v>
      </c>
      <c r="G8" s="26"/>
    </row>
    <row r="9" s="1" customFormat="1" ht="34" customHeight="1" spans="1:7">
      <c r="A9" s="17"/>
      <c r="B9" s="24" t="s">
        <v>137</v>
      </c>
      <c r="C9" s="25"/>
      <c r="D9" s="24" t="s">
        <v>138</v>
      </c>
      <c r="E9" s="25"/>
      <c r="F9" s="24" t="s">
        <v>139</v>
      </c>
      <c r="G9" s="26"/>
    </row>
    <row r="10" s="1" customFormat="1" ht="34" customHeight="1" spans="1:7">
      <c r="A10" s="17"/>
      <c r="B10" s="18" t="s">
        <v>140</v>
      </c>
      <c r="C10" s="19"/>
      <c r="D10" s="18" t="s">
        <v>141</v>
      </c>
      <c r="E10" s="19"/>
      <c r="F10" s="18" t="s">
        <v>142</v>
      </c>
      <c r="G10" s="21"/>
    </row>
    <row r="11" s="1" customFormat="1" ht="34" customHeight="1" spans="1:7">
      <c r="A11" s="17"/>
      <c r="B11" s="18" t="s">
        <v>143</v>
      </c>
      <c r="C11" s="19"/>
      <c r="D11" s="18" t="s">
        <v>144</v>
      </c>
      <c r="E11" s="19"/>
      <c r="F11" s="18" t="s">
        <v>145</v>
      </c>
      <c r="G11" s="21"/>
    </row>
    <row r="12" s="1" customFormat="1" ht="34" customHeight="1" spans="1:7">
      <c r="A12" s="17"/>
      <c r="B12" s="18" t="s">
        <v>146</v>
      </c>
      <c r="C12" s="19"/>
      <c r="D12" s="18" t="s">
        <v>147</v>
      </c>
      <c r="E12" s="19"/>
      <c r="F12" s="18" t="s">
        <v>148</v>
      </c>
      <c r="G12" s="21"/>
    </row>
    <row r="13" s="1" customFormat="1" ht="34" customHeight="1" spans="1:7">
      <c r="A13" s="17"/>
      <c r="B13" s="18" t="s">
        <v>149</v>
      </c>
      <c r="C13" s="19"/>
      <c r="D13" s="18" t="s">
        <v>150</v>
      </c>
      <c r="E13" s="19"/>
      <c r="F13" s="18" t="s">
        <v>150</v>
      </c>
      <c r="G13" s="21"/>
    </row>
    <row r="14" s="1" customFormat="1" ht="34" customHeight="1" spans="1:7">
      <c r="A14" s="17"/>
      <c r="B14" s="18" t="s">
        <v>151</v>
      </c>
      <c r="C14" s="19"/>
      <c r="D14" s="18" t="s">
        <v>152</v>
      </c>
      <c r="E14" s="19"/>
      <c r="F14" s="18" t="s">
        <v>153</v>
      </c>
      <c r="G14" s="21"/>
    </row>
    <row r="15" s="1" customFormat="1" ht="34" customHeight="1" spans="1:7">
      <c r="A15" s="27"/>
      <c r="B15" s="28" t="s">
        <v>154</v>
      </c>
      <c r="C15" s="29"/>
      <c r="D15" s="28" t="s">
        <v>155</v>
      </c>
      <c r="E15" s="29"/>
      <c r="F15" s="28" t="s">
        <v>156</v>
      </c>
      <c r="G15" s="30"/>
    </row>
    <row r="16" s="2" customFormat="1" ht="21" customHeight="1" spans="1:7">
      <c r="A16" s="31"/>
      <c r="B16" s="32"/>
      <c r="C16" s="33"/>
      <c r="D16" s="32"/>
      <c r="E16" s="33"/>
      <c r="F16" s="32"/>
      <c r="G16" s="34"/>
    </row>
    <row r="17" s="1" customFormat="1" ht="34" customHeight="1" spans="1:7">
      <c r="A17" s="14" t="s">
        <v>157</v>
      </c>
      <c r="B17" s="15" t="s">
        <v>126</v>
      </c>
      <c r="C17" s="15"/>
      <c r="D17" s="15"/>
      <c r="E17" s="15"/>
      <c r="F17" s="15"/>
      <c r="G17" s="16"/>
    </row>
    <row r="18" s="1" customFormat="1" ht="34" customHeight="1" spans="1:7">
      <c r="A18" s="17"/>
      <c r="B18" s="18" t="s">
        <v>127</v>
      </c>
      <c r="C18" s="19"/>
      <c r="D18" s="18" t="s">
        <v>128</v>
      </c>
      <c r="E18" s="19"/>
      <c r="F18" s="18" t="s">
        <v>129</v>
      </c>
      <c r="G18" s="20" t="e">
        <f>E18/C18</f>
        <v>#DIV/0!</v>
      </c>
    </row>
    <row r="19" s="1" customFormat="1" ht="34" customHeight="1" spans="1:7">
      <c r="A19" s="17"/>
      <c r="B19" s="18" t="s">
        <v>130</v>
      </c>
      <c r="C19" s="19"/>
      <c r="D19" s="18" t="s">
        <v>131</v>
      </c>
      <c r="E19" s="19"/>
      <c r="F19" s="18" t="s">
        <v>132</v>
      </c>
      <c r="G19" s="35"/>
    </row>
    <row r="20" s="1" customFormat="1" ht="34" customHeight="1" spans="1:7">
      <c r="A20" s="17"/>
      <c r="B20" s="22" t="s">
        <v>133</v>
      </c>
      <c r="C20" s="22"/>
      <c r="D20" s="22"/>
      <c r="E20" s="22"/>
      <c r="F20" s="22"/>
      <c r="G20" s="23"/>
    </row>
    <row r="21" s="1" customFormat="1" ht="34" customHeight="1" spans="1:7">
      <c r="A21" s="17"/>
      <c r="B21" s="24" t="s">
        <v>134</v>
      </c>
      <c r="C21" s="25"/>
      <c r="D21" s="24" t="s">
        <v>135</v>
      </c>
      <c r="E21" s="25"/>
      <c r="F21" s="24" t="s">
        <v>136</v>
      </c>
      <c r="G21" s="26"/>
    </row>
    <row r="22" s="1" customFormat="1" ht="34" customHeight="1" spans="1:7">
      <c r="A22" s="17"/>
      <c r="B22" s="24" t="s">
        <v>137</v>
      </c>
      <c r="C22" s="25"/>
      <c r="D22" s="24" t="s">
        <v>138</v>
      </c>
      <c r="E22" s="25"/>
      <c r="F22" s="24" t="s">
        <v>139</v>
      </c>
      <c r="G22" s="26"/>
    </row>
    <row r="23" s="1" customFormat="1" ht="34" customHeight="1" spans="1:7">
      <c r="A23" s="17"/>
      <c r="B23" s="18" t="s">
        <v>140</v>
      </c>
      <c r="C23" s="19"/>
      <c r="D23" s="18" t="s">
        <v>141</v>
      </c>
      <c r="E23" s="19"/>
      <c r="F23" s="18" t="s">
        <v>142</v>
      </c>
      <c r="G23" s="21"/>
    </row>
    <row r="24" s="1" customFormat="1" ht="34" customHeight="1" spans="1:7">
      <c r="A24" s="17"/>
      <c r="B24" s="18" t="s">
        <v>143</v>
      </c>
      <c r="C24" s="19"/>
      <c r="D24" s="18" t="s">
        <v>144</v>
      </c>
      <c r="E24" s="19"/>
      <c r="F24" s="18" t="s">
        <v>145</v>
      </c>
      <c r="G24" s="21"/>
    </row>
    <row r="25" s="1" customFormat="1" ht="34" customHeight="1" spans="1:7">
      <c r="A25" s="17"/>
      <c r="B25" s="18" t="s">
        <v>146</v>
      </c>
      <c r="C25" s="19"/>
      <c r="D25" s="18" t="s">
        <v>147</v>
      </c>
      <c r="E25" s="19"/>
      <c r="F25" s="18" t="s">
        <v>148</v>
      </c>
      <c r="G25" s="21"/>
    </row>
    <row r="26" s="1" customFormat="1" ht="34" customHeight="1" spans="1:7">
      <c r="A26" s="17"/>
      <c r="B26" s="18" t="s">
        <v>149</v>
      </c>
      <c r="C26" s="19"/>
      <c r="D26" s="18" t="s">
        <v>150</v>
      </c>
      <c r="E26" s="19"/>
      <c r="F26" s="18" t="s">
        <v>150</v>
      </c>
      <c r="G26" s="21"/>
    </row>
    <row r="27" s="1" customFormat="1" ht="34" customHeight="1" spans="1:7">
      <c r="A27" s="17"/>
      <c r="B27" s="18" t="s">
        <v>151</v>
      </c>
      <c r="C27" s="19"/>
      <c r="D27" s="18" t="s">
        <v>152</v>
      </c>
      <c r="E27" s="19"/>
      <c r="F27" s="18" t="s">
        <v>153</v>
      </c>
      <c r="G27" s="21"/>
    </row>
    <row r="28" s="1" customFormat="1" ht="34" customHeight="1" spans="1:7">
      <c r="A28" s="27"/>
      <c r="B28" s="28" t="s">
        <v>154</v>
      </c>
      <c r="C28" s="29"/>
      <c r="D28" s="28" t="s">
        <v>155</v>
      </c>
      <c r="E28" s="29"/>
      <c r="F28" s="28" t="s">
        <v>156</v>
      </c>
      <c r="G28" s="30"/>
    </row>
  </sheetData>
  <mergeCells count="9">
    <mergeCell ref="A1:G1"/>
    <mergeCell ref="A2:E2"/>
    <mergeCell ref="B3:C3"/>
    <mergeCell ref="B4:G4"/>
    <mergeCell ref="B7:G7"/>
    <mergeCell ref="B17:G17"/>
    <mergeCell ref="B20:G20"/>
    <mergeCell ref="A4:A15"/>
    <mergeCell ref="A17:A28"/>
  </mergeCells>
  <pageMargins left="0.751388888888889" right="0.751388888888889" top="1" bottom="1" header="0.5" footer="0.5"/>
  <pageSetup paperSize="9" scale="90" orientation="landscape" horizontalDpi="600"/>
  <headerFooter/>
  <drawing r:id="rId1"/>
  <legacyDrawing r:id="rId2"/>
  <controls>
    <mc:AlternateContent xmlns:mc="http://schemas.openxmlformats.org/markup-compatibility/2006">
      <mc:Choice Requires="x14">
        <control shapeId="2050" r:id="rId3" name="CommandButton1">
          <controlPr defaultSize="0" r:id="rId4">
            <anchor moveWithCells="1">
              <from>
                <xdr:col>5</xdr:col>
                <xdr:colOff>2354580</xdr:colOff>
                <xdr:row>0</xdr:row>
                <xdr:rowOff>90805</xdr:rowOff>
              </from>
              <to>
                <xdr:col>9</xdr:col>
                <xdr:colOff>496570</xdr:colOff>
                <xdr:row>0</xdr:row>
                <xdr:rowOff>396875</xdr:rowOff>
              </to>
            </anchor>
          </controlPr>
        </control>
      </mc:Choice>
      <mc:Fallback>
        <control shapeId="2050" r:id="rId3" name="CommandButton1"/>
      </mc:Fallback>
    </mc:AlternateContent>
    <mc:AlternateContent xmlns:mc="http://schemas.openxmlformats.org/markup-compatibility/2006">
      <mc:Choice Requires="x14">
        <control shapeId="2049" name="Button 1" r:id="rId5">
          <controlPr print="0" defaultSize="0">
            <anchor moveWithCells="1" sizeWithCells="1">
              <from>
                <xdr:col>7</xdr:col>
                <xdr:colOff>91440</xdr:colOff>
                <xdr:row>0</xdr:row>
                <xdr:rowOff>90805</xdr:rowOff>
              </from>
              <to>
                <xdr:col>8</xdr:col>
                <xdr:colOff>167640</xdr:colOff>
                <xdr:row>0</xdr:row>
                <xdr:rowOff>365760</xdr:rowOff>
              </to>
            </anchor>
          </controlPr>
        </control>
      </mc:Choice>
    </mc:AlternateContent>
    <mc:AlternateContent xmlns:mc="http://schemas.openxmlformats.org/markup-compatibility/2006">
      <mc:Choice Requires="x14">
        <control shapeId="2051" name="Button 1037" r:id="rId6">
          <controlPr print="0" defaultSize="0">
            <anchor moveWithCells="1" sizeWithCells="1">
              <from>
                <xdr:col>7</xdr:col>
                <xdr:colOff>88265</xdr:colOff>
                <xdr:row>0</xdr:row>
                <xdr:rowOff>96520</xdr:rowOff>
              </from>
              <to>
                <xdr:col>8</xdr:col>
                <xdr:colOff>164465</xdr:colOff>
                <xdr:row>0</xdr:row>
                <xdr:rowOff>371475</xdr:rowOff>
              </to>
            </anchor>
          </controlPr>
        </control>
      </mc:Choice>
    </mc:AlternateContent>
  </control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项目前置研判信息表</vt:lpstr>
      <vt:lpstr>Sheet2-主要财务数据表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荣鹏</dc:creator>
  <cp:lastModifiedBy>梁晶晶</cp:lastModifiedBy>
  <dcterms:created xsi:type="dcterms:W3CDTF">2024-10-09T07:55:00Z</dcterms:created>
  <dcterms:modified xsi:type="dcterms:W3CDTF">2024-11-15T09:26:30Z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2052-11.8.2.8950</vt:lpwstr>
  </property>
</Properties>
</file>